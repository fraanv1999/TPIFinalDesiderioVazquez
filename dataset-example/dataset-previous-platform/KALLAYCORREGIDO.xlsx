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aan\Downloads\Administralo\ThomsFerreteria\04-07\"/>
    </mc:Choice>
  </mc:AlternateContent>
  <bookViews>
    <workbookView xWindow="0" yWindow="0" windowWidth="21570" windowHeight="7995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  <c r="E20" i="1" s="1"/>
  <c r="D19" i="1"/>
  <c r="E19" i="1"/>
  <c r="F19" i="1" s="1"/>
  <c r="D18" i="1"/>
  <c r="E18" i="1" s="1"/>
  <c r="D17" i="1"/>
  <c r="E17" i="1"/>
  <c r="F17" i="1" s="1"/>
  <c r="G17" i="1" s="1"/>
  <c r="I17" i="1" s="1"/>
  <c r="D16" i="1"/>
  <c r="E16" i="1" s="1"/>
  <c r="D14" i="1"/>
  <c r="E14" i="1" s="1"/>
  <c r="D15" i="1"/>
  <c r="E15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F8" i="1" s="1"/>
  <c r="D7" i="1"/>
  <c r="E7" i="1" s="1"/>
  <c r="F7" i="1" s="1"/>
  <c r="D6" i="1"/>
  <c r="E6" i="1" s="1"/>
  <c r="D5" i="1"/>
  <c r="E5" i="1" s="1"/>
  <c r="D4" i="1"/>
  <c r="E4" i="1" s="1"/>
  <c r="F20" i="1" l="1"/>
  <c r="G20" i="1" s="1"/>
  <c r="I20" i="1" s="1"/>
  <c r="G19" i="1"/>
  <c r="I19" i="1" s="1"/>
  <c r="F18" i="1"/>
  <c r="G18" i="1" s="1"/>
  <c r="I18" i="1" s="1"/>
  <c r="F16" i="1"/>
  <c r="G16" i="1" s="1"/>
  <c r="I16" i="1" s="1"/>
  <c r="F15" i="1"/>
  <c r="G15" i="1" s="1"/>
  <c r="I15" i="1" s="1"/>
  <c r="F14" i="1"/>
  <c r="G14" i="1" s="1"/>
  <c r="I14" i="1" s="1"/>
  <c r="F5" i="1"/>
  <c r="G5" i="1" s="1"/>
  <c r="I5" i="1" s="1"/>
  <c r="F11" i="1"/>
  <c r="G11" i="1" s="1"/>
  <c r="I11" i="1" s="1"/>
  <c r="F4" i="1"/>
  <c r="G4" i="1" s="1"/>
  <c r="I4" i="1" s="1"/>
  <c r="F6" i="1"/>
  <c r="G6" i="1" s="1"/>
  <c r="I6" i="1" s="1"/>
  <c r="F9" i="1"/>
  <c r="G9" i="1" s="1"/>
  <c r="I9" i="1" s="1"/>
  <c r="F10" i="1"/>
  <c r="G10" i="1" s="1"/>
  <c r="I10" i="1" s="1"/>
  <c r="F12" i="1"/>
  <c r="G12" i="1" s="1"/>
  <c r="I12" i="1" s="1"/>
  <c r="F13" i="1"/>
  <c r="G13" i="1" s="1"/>
  <c r="I13" i="1" s="1"/>
  <c r="G7" i="1"/>
  <c r="I7" i="1" s="1"/>
  <c r="G8" i="1"/>
  <c r="I8" i="1" s="1"/>
</calcChain>
</file>

<file path=xl/sharedStrings.xml><?xml version="1.0" encoding="utf-8"?>
<sst xmlns="http://schemas.openxmlformats.org/spreadsheetml/2006/main" count="46" uniqueCount="45">
  <si>
    <t>producto</t>
  </si>
  <si>
    <t>precio de costo</t>
  </si>
  <si>
    <t>ingreso bruto</t>
  </si>
  <si>
    <t>iva</t>
  </si>
  <si>
    <t>costo + iva</t>
  </si>
  <si>
    <t>stock</t>
  </si>
  <si>
    <t>% ganancia</t>
  </si>
  <si>
    <t>||||||</t>
  </si>
  <si>
    <t>|||||||</t>
  </si>
  <si>
    <t>KALLAY 4002</t>
  </si>
  <si>
    <t>KALLAY 4003</t>
  </si>
  <si>
    <t>KALLAY 4006</t>
  </si>
  <si>
    <t>KALLAY 3002</t>
  </si>
  <si>
    <t>KALLAY 503</t>
  </si>
  <si>
    <t>KALLAY 504</t>
  </si>
  <si>
    <t>codigo</t>
  </si>
  <si>
    <t>K4002</t>
  </si>
  <si>
    <t>K4003</t>
  </si>
  <si>
    <t>K4006</t>
  </si>
  <si>
    <t>K3002</t>
  </si>
  <si>
    <t>K503</t>
  </si>
  <si>
    <t>K504</t>
  </si>
  <si>
    <t>ganancia</t>
  </si>
  <si>
    <t>PASACRUZ</t>
  </si>
  <si>
    <t>PASADOR CERRO CRUZ</t>
  </si>
  <si>
    <t>K4001</t>
  </si>
  <si>
    <t>KALLAY 4001</t>
  </si>
  <si>
    <t>CA30</t>
  </si>
  <si>
    <t>KALLAY CANDADO 30</t>
  </si>
  <si>
    <t>CA40</t>
  </si>
  <si>
    <t>KALLAY CANDADO 40</t>
  </si>
  <si>
    <t>CA50</t>
  </si>
  <si>
    <t>KALLAY CANDADO 50</t>
  </si>
  <si>
    <t>CA60</t>
  </si>
  <si>
    <t>KALLAY CANDADO 60</t>
  </si>
  <si>
    <t>kallay 5002</t>
  </si>
  <si>
    <t>Kallay 4010</t>
  </si>
  <si>
    <t>Kallay 4015</t>
  </si>
  <si>
    <t>kallay 507</t>
  </si>
  <si>
    <t>star 525</t>
  </si>
  <si>
    <t>K5002</t>
  </si>
  <si>
    <t>K4010</t>
  </si>
  <si>
    <t>K4015</t>
  </si>
  <si>
    <t>K507</t>
  </si>
  <si>
    <t>S525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</si>
</sst>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8" width="20" customWidth="1"/>
  </cols>
  <sheetData>
    <row r="1" spans="1:9" x14ac:dyDescent="0.25">
      <c r="A1" t="s">
        <v>15</v>
      </c>
      <c r="B1" t="s">
        <v>0</v>
      </c>
      <c r="C1" t="s">
        <v>1</v>
      </c>
      <c r="D1" t="s">
        <v>2</v>
      </c>
      <c r="E1" t="s">
        <v>22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C2" t="s">
        <v>8</v>
      </c>
      <c r="D2">
        <v>0.04</v>
      </c>
      <c r="E2">
        <v>0.5</v>
      </c>
      <c r="F2">
        <v>0.21</v>
      </c>
      <c r="G2" t="s">
        <v>7</v>
      </c>
      <c r="H2" t="s">
        <v>7</v>
      </c>
      <c r="I2">
        <v>0.3</v>
      </c>
    </row>
    <row r="4" spans="1:9" x14ac:dyDescent="0.25">
      <c r="A4" t="s">
        <v>16</v>
      </c>
      <c r="B4" s="1" t="s">
        <v>9</v>
      </c>
      <c r="C4">
        <v>19100</v>
      </c>
      <c r="D4">
        <f t="shared" ref="D4:D20" si="0">C4+(C4*$D$2)</f>
        <v>19864</v>
      </c>
      <c r="E4">
        <f>D4+(D4*$E$2)</f>
        <v>29796</v>
      </c>
      <c r="F4">
        <f>E4*$F$2</f>
        <v>6257.16</v>
      </c>
      <c r="G4">
        <f>E4+F4</f>
        <v>36053.160000000003</v>
      </c>
      <c r="H4">
        <v>4</v>
      </c>
      <c r="I4">
        <f t="shared" ref="I4:I20" si="1">G4+(G4*$I$2)</f>
        <v>46869.108000000007</v>
      </c>
    </row>
    <row r="5" spans="1:9" x14ac:dyDescent="0.25">
      <c r="A5" t="s">
        <v>17</v>
      </c>
      <c r="B5" s="1" t="s">
        <v>10</v>
      </c>
      <c r="C5">
        <v>19100</v>
      </c>
      <c r="D5">
        <f t="shared" si="0"/>
        <v>19864</v>
      </c>
      <c r="E5">
        <f t="shared" ref="E5:E20" si="2">D5+(D5*$E$2)</f>
        <v>29796</v>
      </c>
      <c r="F5">
        <f t="shared" ref="F5:F20" si="3">E5*$F$2</f>
        <v>6257.16</v>
      </c>
      <c r="G5">
        <f t="shared" ref="G5:G20" si="4">E5+F5</f>
        <v>36053.160000000003</v>
      </c>
      <c r="H5">
        <v>4</v>
      </c>
      <c r="I5">
        <f t="shared" si="1"/>
        <v>46869.108000000007</v>
      </c>
    </row>
    <row r="6" spans="1:9" x14ac:dyDescent="0.25">
      <c r="A6" t="s">
        <v>23</v>
      </c>
      <c r="B6" s="1" t="s">
        <v>24</v>
      </c>
      <c r="C6">
        <v>9800</v>
      </c>
      <c r="D6">
        <f t="shared" si="0"/>
        <v>10192</v>
      </c>
      <c r="E6">
        <f t="shared" si="2"/>
        <v>15288</v>
      </c>
      <c r="F6">
        <f t="shared" si="3"/>
        <v>3210.48</v>
      </c>
      <c r="G6">
        <f t="shared" si="4"/>
        <v>18498.48</v>
      </c>
      <c r="H6">
        <v>4</v>
      </c>
      <c r="I6">
        <f t="shared" si="1"/>
        <v>24048.023999999998</v>
      </c>
    </row>
    <row r="7" spans="1:9" x14ac:dyDescent="0.25">
      <c r="A7" t="s">
        <v>18</v>
      </c>
      <c r="B7" s="1" t="s">
        <v>11</v>
      </c>
      <c r="C7">
        <v>14500.8</v>
      </c>
      <c r="D7">
        <f t="shared" si="0"/>
        <v>15080.831999999999</v>
      </c>
      <c r="E7">
        <f t="shared" si="2"/>
        <v>22621.248</v>
      </c>
      <c r="F7">
        <f t="shared" si="3"/>
        <v>4750.4620799999993</v>
      </c>
      <c r="G7">
        <f t="shared" si="4"/>
        <v>27371.710079999997</v>
      </c>
      <c r="H7">
        <v>4</v>
      </c>
      <c r="I7">
        <f t="shared" si="1"/>
        <v>35583.223103999997</v>
      </c>
    </row>
    <row r="8" spans="1:9" x14ac:dyDescent="0.25">
      <c r="A8" t="s">
        <v>25</v>
      </c>
      <c r="B8" s="1" t="s">
        <v>26</v>
      </c>
      <c r="C8">
        <v>36100</v>
      </c>
      <c r="D8">
        <f t="shared" si="0"/>
        <v>37544</v>
      </c>
      <c r="E8">
        <f t="shared" si="2"/>
        <v>56316</v>
      </c>
      <c r="F8">
        <f t="shared" si="3"/>
        <v>11826.359999999999</v>
      </c>
      <c r="G8">
        <f t="shared" si="4"/>
        <v>68142.36</v>
      </c>
      <c r="H8">
        <v>4</v>
      </c>
      <c r="I8">
        <f t="shared" si="1"/>
        <v>88585.067999999999</v>
      </c>
    </row>
    <row r="9" spans="1:9" x14ac:dyDescent="0.25">
      <c r="A9" t="s">
        <v>19</v>
      </c>
      <c r="B9" s="1" t="s">
        <v>12</v>
      </c>
      <c r="C9">
        <v>10660.99</v>
      </c>
      <c r="D9">
        <f t="shared" si="0"/>
        <v>11087.429599999999</v>
      </c>
      <c r="E9">
        <f t="shared" si="2"/>
        <v>16631.144399999997</v>
      </c>
      <c r="F9">
        <f t="shared" si="3"/>
        <v>3492.5403239999991</v>
      </c>
      <c r="G9">
        <f t="shared" si="4"/>
        <v>20123.684723999995</v>
      </c>
      <c r="H9">
        <v>4</v>
      </c>
      <c r="I9">
        <f t="shared" si="1"/>
        <v>26160.790141199992</v>
      </c>
    </row>
    <row r="10" spans="1:9" x14ac:dyDescent="0.25">
      <c r="A10" t="s">
        <v>20</v>
      </c>
      <c r="B10" s="1" t="s">
        <v>13</v>
      </c>
      <c r="C10">
        <v>7750.8</v>
      </c>
      <c r="D10">
        <f t="shared" si="0"/>
        <v>8060.8320000000003</v>
      </c>
      <c r="E10">
        <f t="shared" si="2"/>
        <v>12091.248</v>
      </c>
      <c r="F10">
        <f t="shared" si="3"/>
        <v>2539.1620799999996</v>
      </c>
      <c r="G10">
        <f t="shared" si="4"/>
        <v>14630.41008</v>
      </c>
      <c r="H10">
        <v>4</v>
      </c>
      <c r="I10">
        <f t="shared" si="1"/>
        <v>19019.533103999998</v>
      </c>
    </row>
    <row r="11" spans="1:9" x14ac:dyDescent="0.25">
      <c r="A11" t="s">
        <v>21</v>
      </c>
      <c r="B11" s="1" t="s">
        <v>14</v>
      </c>
      <c r="C11">
        <v>9299.7000000000007</v>
      </c>
      <c r="D11">
        <f t="shared" si="0"/>
        <v>9671.6880000000001</v>
      </c>
      <c r="E11">
        <f t="shared" si="2"/>
        <v>14507.531999999999</v>
      </c>
      <c r="F11">
        <f t="shared" si="3"/>
        <v>3046.5817199999997</v>
      </c>
      <c r="G11">
        <f t="shared" si="4"/>
        <v>17554.113719999998</v>
      </c>
      <c r="H11">
        <v>4</v>
      </c>
      <c r="I11">
        <f t="shared" si="1"/>
        <v>22820.347835999997</v>
      </c>
    </row>
    <row r="12" spans="1:9" x14ac:dyDescent="0.25">
      <c r="A12" t="s">
        <v>27</v>
      </c>
      <c r="B12" s="1" t="s">
        <v>28</v>
      </c>
      <c r="C12">
        <v>5250</v>
      </c>
      <c r="D12">
        <f t="shared" si="0"/>
        <v>5460</v>
      </c>
      <c r="E12">
        <f t="shared" si="2"/>
        <v>8190</v>
      </c>
      <c r="F12">
        <f t="shared" si="3"/>
        <v>1719.8999999999999</v>
      </c>
      <c r="G12">
        <f t="shared" si="4"/>
        <v>9909.9</v>
      </c>
      <c r="H12">
        <v>6</v>
      </c>
      <c r="I12">
        <f t="shared" si="1"/>
        <v>12882.869999999999</v>
      </c>
    </row>
    <row r="13" spans="1:9" x14ac:dyDescent="0.25">
      <c r="A13" t="s">
        <v>29</v>
      </c>
      <c r="B13" s="1" t="s">
        <v>30</v>
      </c>
      <c r="C13">
        <v>7100</v>
      </c>
      <c r="D13">
        <f t="shared" si="0"/>
        <v>7384</v>
      </c>
      <c r="E13">
        <f t="shared" si="2"/>
        <v>11076</v>
      </c>
      <c r="F13">
        <f t="shared" si="3"/>
        <v>2325.96</v>
      </c>
      <c r="G13">
        <f t="shared" si="4"/>
        <v>13401.96</v>
      </c>
      <c r="H13">
        <v>6</v>
      </c>
      <c r="I13">
        <f t="shared" si="1"/>
        <v>17422.547999999999</v>
      </c>
    </row>
    <row r="14" spans="1:9" x14ac:dyDescent="0.25">
      <c r="A14" t="s">
        <v>31</v>
      </c>
      <c r="B14" s="1" t="s">
        <v>32</v>
      </c>
      <c r="C14">
        <v>11210</v>
      </c>
      <c r="D14">
        <f t="shared" si="0"/>
        <v>11658.4</v>
      </c>
      <c r="E14">
        <f t="shared" si="2"/>
        <v>17487.599999999999</v>
      </c>
      <c r="F14">
        <f t="shared" si="3"/>
        <v>3672.3959999999997</v>
      </c>
      <c r="G14">
        <f t="shared" si="4"/>
        <v>21159.995999999999</v>
      </c>
      <c r="H14">
        <v>6</v>
      </c>
      <c r="I14">
        <f t="shared" si="1"/>
        <v>27507.9948</v>
      </c>
    </row>
    <row r="15" spans="1:9" x14ac:dyDescent="0.25">
      <c r="A15" t="s">
        <v>33</v>
      </c>
      <c r="B15" s="1" t="s">
        <v>34</v>
      </c>
      <c r="C15">
        <v>17600</v>
      </c>
      <c r="D15">
        <f t="shared" si="0"/>
        <v>18304</v>
      </c>
      <c r="E15">
        <f t="shared" si="2"/>
        <v>27456</v>
      </c>
      <c r="F15">
        <f t="shared" si="3"/>
        <v>5765.76</v>
      </c>
      <c r="G15">
        <f t="shared" si="4"/>
        <v>33221.760000000002</v>
      </c>
      <c r="H15">
        <v>6</v>
      </c>
      <c r="I15">
        <f t="shared" si="1"/>
        <v>43188.288</v>
      </c>
    </row>
    <row r="16" spans="1:9" x14ac:dyDescent="0.25">
      <c r="A16" t="s">
        <v>40</v>
      </c>
      <c r="B16" s="1" t="s">
        <v>35</v>
      </c>
      <c r="C16">
        <v>27067.5</v>
      </c>
      <c r="D16">
        <f t="shared" si="0"/>
        <v>28150.2</v>
      </c>
      <c r="E16">
        <f t="shared" si="2"/>
        <v>42225.3</v>
      </c>
      <c r="F16">
        <f t="shared" si="3"/>
        <v>8867.3130000000001</v>
      </c>
      <c r="G16">
        <f t="shared" si="4"/>
        <v>51092.613000000005</v>
      </c>
      <c r="I16">
        <f t="shared" si="1"/>
        <v>66420.396900000007</v>
      </c>
    </row>
    <row r="17" spans="1:9" x14ac:dyDescent="0.25">
      <c r="A17" t="s">
        <v>41</v>
      </c>
      <c r="B17" s="1" t="s">
        <v>36</v>
      </c>
      <c r="C17">
        <v>15232.5</v>
      </c>
      <c r="D17">
        <f t="shared" si="0"/>
        <v>15841.8</v>
      </c>
      <c r="E17">
        <f t="shared" si="2"/>
        <v>23762.699999999997</v>
      </c>
      <c r="F17">
        <f t="shared" si="3"/>
        <v>4990.1669999999995</v>
      </c>
      <c r="G17">
        <f t="shared" si="4"/>
        <v>28752.866999999998</v>
      </c>
      <c r="I17">
        <f t="shared" si="1"/>
        <v>37378.727099999996</v>
      </c>
    </row>
    <row r="18" spans="1:9" x14ac:dyDescent="0.25">
      <c r="A18" t="s">
        <v>42</v>
      </c>
      <c r="B18" s="1" t="s">
        <v>37</v>
      </c>
      <c r="C18">
        <v>19353.599999999999</v>
      </c>
      <c r="D18">
        <f t="shared" si="0"/>
        <v>20127.743999999999</v>
      </c>
      <c r="E18">
        <f t="shared" si="2"/>
        <v>30191.615999999998</v>
      </c>
      <c r="F18">
        <f t="shared" si="3"/>
        <v>6340.2393599999996</v>
      </c>
      <c r="G18">
        <f t="shared" si="4"/>
        <v>36531.855360000001</v>
      </c>
      <c r="I18">
        <f t="shared" si="1"/>
        <v>47491.411968</v>
      </c>
    </row>
    <row r="19" spans="1:9" x14ac:dyDescent="0.25">
      <c r="A19" t="s">
        <v>43</v>
      </c>
      <c r="B19" s="1" t="s">
        <v>38</v>
      </c>
      <c r="C19">
        <v>23040</v>
      </c>
      <c r="D19">
        <f t="shared" si="0"/>
        <v>23961.599999999999</v>
      </c>
      <c r="E19">
        <f t="shared" si="2"/>
        <v>35942.399999999994</v>
      </c>
      <c r="F19">
        <f t="shared" si="3"/>
        <v>7547.9039999999986</v>
      </c>
      <c r="G19">
        <f t="shared" si="4"/>
        <v>43490.303999999989</v>
      </c>
      <c r="I19">
        <f t="shared" si="1"/>
        <v>56537.395199999984</v>
      </c>
    </row>
    <row r="20" spans="1:9" x14ac:dyDescent="0.25">
      <c r="A20" t="s">
        <v>44</v>
      </c>
      <c r="B20" s="1" t="s">
        <v>39</v>
      </c>
      <c r="C20">
        <v>14600</v>
      </c>
      <c r="D20">
        <f t="shared" si="0"/>
        <v>15184</v>
      </c>
      <c r="E20">
        <f t="shared" si="2"/>
        <v>22776</v>
      </c>
      <c r="F20">
        <f t="shared" si="3"/>
        <v>4782.96</v>
      </c>
      <c r="G20">
        <f t="shared" si="4"/>
        <v>27558.959999999999</v>
      </c>
      <c r="I20">
        <f t="shared" si="1"/>
        <v>35826.648000000001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Vendedor Mostrador</dc:creator>
  <cp:lastModifiedBy>Fraan_v1@hotmail.com</cp:lastModifiedBy>
  <dcterms:created xsi:type="dcterms:W3CDTF">2015-06-05T18:19:34Z</dcterms:created>
  <dcterms:modified xsi:type="dcterms:W3CDTF">2026-07-04T18:35:27Z</dcterms:modified>
</cp:coreProperties>
</file>