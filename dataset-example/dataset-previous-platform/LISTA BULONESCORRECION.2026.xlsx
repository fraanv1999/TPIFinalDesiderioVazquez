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Fraan\Downloads\Administralo\ThomsFerreteria\04-07\"/>
    </mc:Choice>
  </mc:AlternateContent>
  <bookViews>
    <workbookView xWindow="0" yWindow="0" windowWidth="21570" windowHeight="7995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346" i="1" l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45" i="1" l="1"/>
  <c r="E345" i="1" s="1"/>
  <c r="G345" i="1" s="1"/>
  <c r="F345" i="1"/>
  <c r="D344" i="1"/>
  <c r="E344" i="1" s="1"/>
  <c r="G344" i="1" s="1"/>
  <c r="F344" i="1"/>
  <c r="D343" i="1" l="1"/>
  <c r="E343" i="1" s="1"/>
  <c r="F343" i="1"/>
  <c r="D342" i="1"/>
  <c r="E342" i="1"/>
  <c r="G342" i="1" s="1"/>
  <c r="F342" i="1"/>
  <c r="D341" i="1"/>
  <c r="E341" i="1"/>
  <c r="F341" i="1"/>
  <c r="G341" i="1"/>
  <c r="D340" i="1"/>
  <c r="E340" i="1" s="1"/>
  <c r="G340" i="1" s="1"/>
  <c r="F340" i="1"/>
  <c r="D339" i="1"/>
  <c r="E339" i="1" s="1"/>
  <c r="G339" i="1" s="1"/>
  <c r="F339" i="1"/>
  <c r="D338" i="1"/>
  <c r="E338" i="1"/>
  <c r="G338" i="1" s="1"/>
  <c r="F338" i="1"/>
  <c r="D337" i="1"/>
  <c r="E337" i="1"/>
  <c r="G337" i="1" s="1"/>
  <c r="F337" i="1"/>
  <c r="D336" i="1"/>
  <c r="E336" i="1"/>
  <c r="G336" i="1" s="1"/>
  <c r="F336" i="1"/>
  <c r="D335" i="1"/>
  <c r="E335" i="1"/>
  <c r="G335" i="1" s="1"/>
  <c r="F335" i="1"/>
  <c r="D334" i="1"/>
  <c r="E334" i="1" s="1"/>
  <c r="G334" i="1" s="1"/>
  <c r="F334" i="1"/>
  <c r="D333" i="1"/>
  <c r="E333" i="1" s="1"/>
  <c r="F333" i="1"/>
  <c r="D332" i="1"/>
  <c r="E332" i="1" s="1"/>
  <c r="G332" i="1" s="1"/>
  <c r="F332" i="1"/>
  <c r="D331" i="1"/>
  <c r="E331" i="1" s="1"/>
  <c r="G331" i="1" s="1"/>
  <c r="F331" i="1"/>
  <c r="D330" i="1"/>
  <c r="E330" i="1" s="1"/>
  <c r="G330" i="1" s="1"/>
  <c r="F330" i="1"/>
  <c r="D329" i="1"/>
  <c r="E329" i="1"/>
  <c r="G329" i="1" s="1"/>
  <c r="F329" i="1"/>
  <c r="D328" i="1"/>
  <c r="E328" i="1" s="1"/>
  <c r="G328" i="1" s="1"/>
  <c r="F328" i="1"/>
  <c r="D327" i="1"/>
  <c r="E327" i="1" s="1"/>
  <c r="G327" i="1" s="1"/>
  <c r="F327" i="1"/>
  <c r="D326" i="1"/>
  <c r="E326" i="1" s="1"/>
  <c r="G326" i="1" s="1"/>
  <c r="F326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E7" i="1"/>
  <c r="G7" i="1" s="1"/>
  <c r="E8" i="1"/>
  <c r="G8" i="1" s="1"/>
  <c r="E43" i="1"/>
  <c r="G43" i="1" s="1"/>
  <c r="E44" i="1"/>
  <c r="G44" i="1" s="1"/>
  <c r="E79" i="1"/>
  <c r="G79" i="1" s="1"/>
  <c r="E80" i="1"/>
  <c r="G80" i="1" s="1"/>
  <c r="E152" i="1"/>
  <c r="G152" i="1" s="1"/>
  <c r="E153" i="1"/>
  <c r="G153" i="1" s="1"/>
  <c r="E187" i="1"/>
  <c r="G187" i="1" s="1"/>
  <c r="E190" i="1"/>
  <c r="G190" i="1" s="1"/>
  <c r="E255" i="1"/>
  <c r="G255" i="1" s="1"/>
  <c r="E288" i="1"/>
  <c r="G288" i="1" s="1"/>
  <c r="E316" i="1"/>
  <c r="G316" i="1" s="1"/>
  <c r="E322" i="1"/>
  <c r="G322" i="1" s="1"/>
  <c r="E323" i="1"/>
  <c r="G323" i="1" s="1"/>
  <c r="E324" i="1"/>
  <c r="G324" i="1" s="1"/>
  <c r="E325" i="1"/>
  <c r="G325" i="1" s="1"/>
  <c r="D4" i="1"/>
  <c r="E4" i="1" s="1"/>
  <c r="G4" i="1" s="1"/>
  <c r="D5" i="1"/>
  <c r="E5" i="1" s="1"/>
  <c r="G5" i="1" s="1"/>
  <c r="D6" i="1"/>
  <c r="E6" i="1" s="1"/>
  <c r="G6" i="1" s="1"/>
  <c r="D7" i="1"/>
  <c r="D8" i="1"/>
  <c r="D9" i="1"/>
  <c r="E9" i="1" s="1"/>
  <c r="G9" i="1" s="1"/>
  <c r="D10" i="1"/>
  <c r="E10" i="1" s="1"/>
  <c r="G10" i="1" s="1"/>
  <c r="D11" i="1"/>
  <c r="E11" i="1" s="1"/>
  <c r="G11" i="1" s="1"/>
  <c r="D12" i="1"/>
  <c r="E12" i="1" s="1"/>
  <c r="G12" i="1" s="1"/>
  <c r="D13" i="1"/>
  <c r="E13" i="1" s="1"/>
  <c r="G13" i="1" s="1"/>
  <c r="D14" i="1"/>
  <c r="E14" i="1" s="1"/>
  <c r="G14" i="1" s="1"/>
  <c r="D15" i="1"/>
  <c r="E15" i="1" s="1"/>
  <c r="D16" i="1"/>
  <c r="E16" i="1" s="1"/>
  <c r="G16" i="1" s="1"/>
  <c r="D17" i="1"/>
  <c r="E17" i="1" s="1"/>
  <c r="G17" i="1" s="1"/>
  <c r="D18" i="1"/>
  <c r="E18" i="1" s="1"/>
  <c r="G18" i="1" s="1"/>
  <c r="D19" i="1"/>
  <c r="E19" i="1" s="1"/>
  <c r="G19" i="1" s="1"/>
  <c r="D20" i="1"/>
  <c r="E20" i="1" s="1"/>
  <c r="G20" i="1" s="1"/>
  <c r="D21" i="1"/>
  <c r="E21" i="1" s="1"/>
  <c r="G21" i="1" s="1"/>
  <c r="D22" i="1"/>
  <c r="E22" i="1" s="1"/>
  <c r="G22" i="1" s="1"/>
  <c r="D23" i="1"/>
  <c r="E23" i="1" s="1"/>
  <c r="G23" i="1" s="1"/>
  <c r="D24" i="1"/>
  <c r="E24" i="1" s="1"/>
  <c r="G24" i="1" s="1"/>
  <c r="D25" i="1"/>
  <c r="E25" i="1" s="1"/>
  <c r="G25" i="1" s="1"/>
  <c r="D26" i="1"/>
  <c r="E26" i="1" s="1"/>
  <c r="G26" i="1" s="1"/>
  <c r="D27" i="1"/>
  <c r="E27" i="1" s="1"/>
  <c r="D28" i="1"/>
  <c r="E28" i="1" s="1"/>
  <c r="G28" i="1" s="1"/>
  <c r="D29" i="1"/>
  <c r="E29" i="1" s="1"/>
  <c r="G29" i="1" s="1"/>
  <c r="D30" i="1"/>
  <c r="E30" i="1" s="1"/>
  <c r="G30" i="1" s="1"/>
  <c r="D31" i="1"/>
  <c r="E31" i="1" s="1"/>
  <c r="G31" i="1" s="1"/>
  <c r="D32" i="1"/>
  <c r="E32" i="1" s="1"/>
  <c r="G32" i="1" s="1"/>
  <c r="D33" i="1"/>
  <c r="E33" i="1" s="1"/>
  <c r="G33" i="1" s="1"/>
  <c r="D34" i="1"/>
  <c r="E34" i="1" s="1"/>
  <c r="G34" i="1" s="1"/>
  <c r="D35" i="1"/>
  <c r="E35" i="1" s="1"/>
  <c r="D36" i="1"/>
  <c r="E36" i="1" s="1"/>
  <c r="G36" i="1" s="1"/>
  <c r="D37" i="1"/>
  <c r="E37" i="1" s="1"/>
  <c r="G37" i="1" s="1"/>
  <c r="D38" i="1"/>
  <c r="E38" i="1" s="1"/>
  <c r="D39" i="1"/>
  <c r="E39" i="1" s="1"/>
  <c r="D40" i="1"/>
  <c r="E40" i="1" s="1"/>
  <c r="D41" i="1"/>
  <c r="E41" i="1" s="1"/>
  <c r="D42" i="1"/>
  <c r="E42" i="1" s="1"/>
  <c r="G42" i="1" s="1"/>
  <c r="D43" i="1"/>
  <c r="D44" i="1"/>
  <c r="D45" i="1"/>
  <c r="E45" i="1" s="1"/>
  <c r="G45" i="1" s="1"/>
  <c r="D46" i="1"/>
  <c r="E46" i="1" s="1"/>
  <c r="G46" i="1" s="1"/>
  <c r="D47" i="1"/>
  <c r="E47" i="1" s="1"/>
  <c r="G47" i="1" s="1"/>
  <c r="D48" i="1"/>
  <c r="E48" i="1" s="1"/>
  <c r="G48" i="1" s="1"/>
  <c r="D49" i="1"/>
  <c r="E49" i="1" s="1"/>
  <c r="G49" i="1" s="1"/>
  <c r="D50" i="1"/>
  <c r="E50" i="1" s="1"/>
  <c r="G50" i="1" s="1"/>
  <c r="D51" i="1"/>
  <c r="E51" i="1" s="1"/>
  <c r="D52" i="1"/>
  <c r="E52" i="1" s="1"/>
  <c r="G52" i="1" s="1"/>
  <c r="D53" i="1"/>
  <c r="E53" i="1" s="1"/>
  <c r="G53" i="1" s="1"/>
  <c r="D54" i="1"/>
  <c r="E54" i="1" s="1"/>
  <c r="G54" i="1" s="1"/>
  <c r="D55" i="1"/>
  <c r="E55" i="1" s="1"/>
  <c r="G55" i="1" s="1"/>
  <c r="D56" i="1"/>
  <c r="E56" i="1" s="1"/>
  <c r="G56" i="1" s="1"/>
  <c r="D57" i="1"/>
  <c r="E57" i="1" s="1"/>
  <c r="G57" i="1" s="1"/>
  <c r="D58" i="1"/>
  <c r="E58" i="1" s="1"/>
  <c r="G58" i="1" s="1"/>
  <c r="D59" i="1"/>
  <c r="E59" i="1" s="1"/>
  <c r="G59" i="1" s="1"/>
  <c r="D60" i="1"/>
  <c r="E60" i="1" s="1"/>
  <c r="G60" i="1" s="1"/>
  <c r="D61" i="1"/>
  <c r="E61" i="1" s="1"/>
  <c r="G61" i="1" s="1"/>
  <c r="D62" i="1"/>
  <c r="E62" i="1" s="1"/>
  <c r="G62" i="1" s="1"/>
  <c r="D63" i="1"/>
  <c r="E63" i="1" s="1"/>
  <c r="D64" i="1"/>
  <c r="E64" i="1" s="1"/>
  <c r="G64" i="1" s="1"/>
  <c r="D65" i="1"/>
  <c r="E65" i="1" s="1"/>
  <c r="G65" i="1" s="1"/>
  <c r="D66" i="1"/>
  <c r="E66" i="1" s="1"/>
  <c r="G66" i="1" s="1"/>
  <c r="D67" i="1"/>
  <c r="E67" i="1" s="1"/>
  <c r="G67" i="1" s="1"/>
  <c r="D68" i="1"/>
  <c r="E68" i="1" s="1"/>
  <c r="G68" i="1" s="1"/>
  <c r="D69" i="1"/>
  <c r="E69" i="1" s="1"/>
  <c r="G69" i="1" s="1"/>
  <c r="D70" i="1"/>
  <c r="E70" i="1" s="1"/>
  <c r="G70" i="1" s="1"/>
  <c r="D71" i="1"/>
  <c r="E71" i="1" s="1"/>
  <c r="G71" i="1" s="1"/>
  <c r="D72" i="1"/>
  <c r="E72" i="1" s="1"/>
  <c r="G72" i="1" s="1"/>
  <c r="D73" i="1"/>
  <c r="E73" i="1" s="1"/>
  <c r="G73" i="1" s="1"/>
  <c r="D74" i="1"/>
  <c r="E74" i="1" s="1"/>
  <c r="G74" i="1" s="1"/>
  <c r="D75" i="1"/>
  <c r="E75" i="1" s="1"/>
  <c r="D76" i="1"/>
  <c r="E76" i="1" s="1"/>
  <c r="G76" i="1" s="1"/>
  <c r="D77" i="1"/>
  <c r="E77" i="1" s="1"/>
  <c r="G77" i="1" s="1"/>
  <c r="D78" i="1"/>
  <c r="E78" i="1" s="1"/>
  <c r="G78" i="1" s="1"/>
  <c r="D79" i="1"/>
  <c r="D80" i="1"/>
  <c r="D81" i="1"/>
  <c r="E81" i="1" s="1"/>
  <c r="G81" i="1" s="1"/>
  <c r="D82" i="1"/>
  <c r="E82" i="1" s="1"/>
  <c r="G82" i="1" s="1"/>
  <c r="D83" i="1"/>
  <c r="E83" i="1" s="1"/>
  <c r="G83" i="1" s="1"/>
  <c r="D84" i="1"/>
  <c r="E84" i="1" s="1"/>
  <c r="G84" i="1" s="1"/>
  <c r="D85" i="1"/>
  <c r="E85" i="1" s="1"/>
  <c r="G85" i="1" s="1"/>
  <c r="D86" i="1"/>
  <c r="E86" i="1" s="1"/>
  <c r="G86" i="1" s="1"/>
  <c r="D87" i="1"/>
  <c r="E87" i="1" s="1"/>
  <c r="D88" i="1"/>
  <c r="E88" i="1" s="1"/>
  <c r="G88" i="1" s="1"/>
  <c r="D89" i="1"/>
  <c r="E89" i="1" s="1"/>
  <c r="G89" i="1" s="1"/>
  <c r="D90" i="1"/>
  <c r="E90" i="1" s="1"/>
  <c r="G90" i="1" s="1"/>
  <c r="D91" i="1"/>
  <c r="E91" i="1" s="1"/>
  <c r="G91" i="1" s="1"/>
  <c r="D92" i="1"/>
  <c r="E92" i="1" s="1"/>
  <c r="G92" i="1" s="1"/>
  <c r="D93" i="1"/>
  <c r="E93" i="1" s="1"/>
  <c r="G93" i="1" s="1"/>
  <c r="D94" i="1"/>
  <c r="E94" i="1" s="1"/>
  <c r="G94" i="1" s="1"/>
  <c r="D95" i="1"/>
  <c r="E95" i="1" s="1"/>
  <c r="G95" i="1" s="1"/>
  <c r="D96" i="1"/>
  <c r="E96" i="1" s="1"/>
  <c r="G96" i="1" s="1"/>
  <c r="D97" i="1"/>
  <c r="E97" i="1" s="1"/>
  <c r="G97" i="1" s="1"/>
  <c r="D98" i="1"/>
  <c r="E98" i="1" s="1"/>
  <c r="G98" i="1" s="1"/>
  <c r="D99" i="1"/>
  <c r="E99" i="1" s="1"/>
  <c r="D100" i="1"/>
  <c r="E100" i="1" s="1"/>
  <c r="G100" i="1" s="1"/>
  <c r="D101" i="1"/>
  <c r="E101" i="1" s="1"/>
  <c r="G101" i="1" s="1"/>
  <c r="D102" i="1"/>
  <c r="E102" i="1" s="1"/>
  <c r="G102" i="1" s="1"/>
  <c r="D103" i="1"/>
  <c r="E103" i="1" s="1"/>
  <c r="G103" i="1" s="1"/>
  <c r="D104" i="1"/>
  <c r="E104" i="1" s="1"/>
  <c r="G104" i="1" s="1"/>
  <c r="D105" i="1"/>
  <c r="E105" i="1" s="1"/>
  <c r="G105" i="1" s="1"/>
  <c r="D106" i="1"/>
  <c r="E106" i="1" s="1"/>
  <c r="G106" i="1" s="1"/>
  <c r="D107" i="1"/>
  <c r="E107" i="1" s="1"/>
  <c r="G107" i="1" s="1"/>
  <c r="D108" i="1"/>
  <c r="E108" i="1" s="1"/>
  <c r="G108" i="1" s="1"/>
  <c r="D109" i="1"/>
  <c r="E109" i="1" s="1"/>
  <c r="G109" i="1" s="1"/>
  <c r="D110" i="1"/>
  <c r="E110" i="1" s="1"/>
  <c r="D111" i="1"/>
  <c r="E111" i="1" s="1"/>
  <c r="D112" i="1"/>
  <c r="E112" i="1" s="1"/>
  <c r="D113" i="1"/>
  <c r="E113" i="1" s="1"/>
  <c r="G113" i="1" s="1"/>
  <c r="D114" i="1"/>
  <c r="E114" i="1" s="1"/>
  <c r="G114" i="1" s="1"/>
  <c r="D115" i="1"/>
  <c r="E115" i="1" s="1"/>
  <c r="G115" i="1" s="1"/>
  <c r="D116" i="1"/>
  <c r="E116" i="1" s="1"/>
  <c r="G116" i="1" s="1"/>
  <c r="D117" i="1"/>
  <c r="E117" i="1" s="1"/>
  <c r="D118" i="1"/>
  <c r="E118" i="1" s="1"/>
  <c r="G118" i="1" s="1"/>
  <c r="D119" i="1"/>
  <c r="E119" i="1" s="1"/>
  <c r="G119" i="1" s="1"/>
  <c r="D120" i="1"/>
  <c r="E120" i="1" s="1"/>
  <c r="G120" i="1" s="1"/>
  <c r="D121" i="1"/>
  <c r="E121" i="1" s="1"/>
  <c r="G121" i="1" s="1"/>
  <c r="D122" i="1"/>
  <c r="E122" i="1" s="1"/>
  <c r="G122" i="1" s="1"/>
  <c r="D123" i="1"/>
  <c r="E123" i="1" s="1"/>
  <c r="D124" i="1"/>
  <c r="E124" i="1" s="1"/>
  <c r="D125" i="1"/>
  <c r="E125" i="1" s="1"/>
  <c r="D126" i="1"/>
  <c r="E126" i="1" s="1"/>
  <c r="D127" i="1"/>
  <c r="E127" i="1" s="1"/>
  <c r="G127" i="1" s="1"/>
  <c r="D128" i="1"/>
  <c r="E128" i="1" s="1"/>
  <c r="G128" i="1" s="1"/>
  <c r="D129" i="1"/>
  <c r="E129" i="1" s="1"/>
  <c r="G129" i="1" s="1"/>
  <c r="D130" i="1"/>
  <c r="E130" i="1" s="1"/>
  <c r="G130" i="1" s="1"/>
  <c r="D131" i="1"/>
  <c r="E131" i="1" s="1"/>
  <c r="D132" i="1"/>
  <c r="E132" i="1" s="1"/>
  <c r="G132" i="1" s="1"/>
  <c r="D133" i="1"/>
  <c r="E133" i="1" s="1"/>
  <c r="G133" i="1" s="1"/>
  <c r="D134" i="1"/>
  <c r="E134" i="1" s="1"/>
  <c r="G134" i="1" s="1"/>
  <c r="D135" i="1"/>
  <c r="E135" i="1" s="1"/>
  <c r="D136" i="1"/>
  <c r="E136" i="1" s="1"/>
  <c r="D137" i="1"/>
  <c r="E137" i="1" s="1"/>
  <c r="D138" i="1"/>
  <c r="E138" i="1" s="1"/>
  <c r="D139" i="1"/>
  <c r="E139" i="1" s="1"/>
  <c r="G139" i="1" s="1"/>
  <c r="D140" i="1"/>
  <c r="E140" i="1" s="1"/>
  <c r="G140" i="1" s="1"/>
  <c r="D141" i="1"/>
  <c r="E141" i="1" s="1"/>
  <c r="G141" i="1" s="1"/>
  <c r="D142" i="1"/>
  <c r="E142" i="1" s="1"/>
  <c r="G142" i="1" s="1"/>
  <c r="D143" i="1"/>
  <c r="E143" i="1" s="1"/>
  <c r="G143" i="1" s="1"/>
  <c r="D144" i="1"/>
  <c r="E144" i="1" s="1"/>
  <c r="G144" i="1" s="1"/>
  <c r="D145" i="1"/>
  <c r="E145" i="1" s="1"/>
  <c r="G145" i="1" s="1"/>
  <c r="D146" i="1"/>
  <c r="E146" i="1" s="1"/>
  <c r="D147" i="1"/>
  <c r="E147" i="1" s="1"/>
  <c r="D148" i="1"/>
  <c r="E148" i="1" s="1"/>
  <c r="D149" i="1"/>
  <c r="E149" i="1" s="1"/>
  <c r="G149" i="1" s="1"/>
  <c r="D150" i="1"/>
  <c r="E150" i="1" s="1"/>
  <c r="G150" i="1" s="1"/>
  <c r="D151" i="1"/>
  <c r="E151" i="1" s="1"/>
  <c r="G151" i="1" s="1"/>
  <c r="D152" i="1"/>
  <c r="D153" i="1"/>
  <c r="D154" i="1"/>
  <c r="E154" i="1" s="1"/>
  <c r="G154" i="1" s="1"/>
  <c r="D155" i="1"/>
  <c r="E155" i="1" s="1"/>
  <c r="G155" i="1" s="1"/>
  <c r="D156" i="1"/>
  <c r="E156" i="1" s="1"/>
  <c r="G156" i="1" s="1"/>
  <c r="D157" i="1"/>
  <c r="E157" i="1" s="1"/>
  <c r="G157" i="1" s="1"/>
  <c r="D158" i="1"/>
  <c r="E158" i="1" s="1"/>
  <c r="G158" i="1" s="1"/>
  <c r="D159" i="1"/>
  <c r="E159" i="1" s="1"/>
  <c r="D160" i="1"/>
  <c r="E160" i="1" s="1"/>
  <c r="G160" i="1" s="1"/>
  <c r="D161" i="1"/>
  <c r="E161" i="1" s="1"/>
  <c r="G161" i="1" s="1"/>
  <c r="D162" i="1"/>
  <c r="E162" i="1" s="1"/>
  <c r="G162" i="1" s="1"/>
  <c r="D163" i="1"/>
  <c r="E163" i="1" s="1"/>
  <c r="G163" i="1" s="1"/>
  <c r="D164" i="1"/>
  <c r="E164" i="1" s="1"/>
  <c r="G164" i="1" s="1"/>
  <c r="D165" i="1"/>
  <c r="E165" i="1" s="1"/>
  <c r="G165" i="1" s="1"/>
  <c r="D166" i="1"/>
  <c r="E166" i="1" s="1"/>
  <c r="G166" i="1" s="1"/>
  <c r="D167" i="1"/>
  <c r="E167" i="1" s="1"/>
  <c r="G167" i="1" s="1"/>
  <c r="D168" i="1"/>
  <c r="E168" i="1" s="1"/>
  <c r="G168" i="1" s="1"/>
  <c r="D169" i="1"/>
  <c r="E169" i="1" s="1"/>
  <c r="G169" i="1" s="1"/>
  <c r="D170" i="1"/>
  <c r="E170" i="1" s="1"/>
  <c r="G170" i="1" s="1"/>
  <c r="D171" i="1"/>
  <c r="E171" i="1" s="1"/>
  <c r="D172" i="1"/>
  <c r="E172" i="1" s="1"/>
  <c r="G172" i="1" s="1"/>
  <c r="D173" i="1"/>
  <c r="E173" i="1" s="1"/>
  <c r="D174" i="1"/>
  <c r="E174" i="1" s="1"/>
  <c r="G174" i="1" s="1"/>
  <c r="D175" i="1"/>
  <c r="E175" i="1" s="1"/>
  <c r="D176" i="1"/>
  <c r="E176" i="1" s="1"/>
  <c r="D177" i="1"/>
  <c r="E177" i="1" s="1"/>
  <c r="D178" i="1"/>
  <c r="E178" i="1" s="1"/>
  <c r="G178" i="1" s="1"/>
  <c r="D179" i="1"/>
  <c r="E179" i="1" s="1"/>
  <c r="G179" i="1" s="1"/>
  <c r="D180" i="1"/>
  <c r="E180" i="1" s="1"/>
  <c r="G180" i="1" s="1"/>
  <c r="D181" i="1"/>
  <c r="E181" i="1" s="1"/>
  <c r="G181" i="1" s="1"/>
  <c r="D182" i="1"/>
  <c r="E182" i="1" s="1"/>
  <c r="G182" i="1" s="1"/>
  <c r="D183" i="1"/>
  <c r="E183" i="1" s="1"/>
  <c r="D184" i="1"/>
  <c r="E184" i="1" s="1"/>
  <c r="G184" i="1" s="1"/>
  <c r="D185" i="1"/>
  <c r="E185" i="1" s="1"/>
  <c r="G185" i="1" s="1"/>
  <c r="D186" i="1"/>
  <c r="E186" i="1" s="1"/>
  <c r="G186" i="1" s="1"/>
  <c r="D187" i="1"/>
  <c r="D188" i="1"/>
  <c r="E188" i="1" s="1"/>
  <c r="G188" i="1" s="1"/>
  <c r="D189" i="1"/>
  <c r="E189" i="1" s="1"/>
  <c r="G189" i="1" s="1"/>
  <c r="D190" i="1"/>
  <c r="D191" i="1"/>
  <c r="E191" i="1" s="1"/>
  <c r="G191" i="1" s="1"/>
  <c r="D192" i="1"/>
  <c r="E192" i="1" s="1"/>
  <c r="G192" i="1" s="1"/>
  <c r="D193" i="1"/>
  <c r="E193" i="1" s="1"/>
  <c r="G193" i="1" s="1"/>
  <c r="D194" i="1"/>
  <c r="E194" i="1" s="1"/>
  <c r="G194" i="1" s="1"/>
  <c r="D195" i="1"/>
  <c r="E195" i="1" s="1"/>
  <c r="D196" i="1"/>
  <c r="E196" i="1" s="1"/>
  <c r="G196" i="1" s="1"/>
  <c r="D197" i="1"/>
  <c r="E197" i="1" s="1"/>
  <c r="G197" i="1" s="1"/>
  <c r="D198" i="1"/>
  <c r="E198" i="1" s="1"/>
  <c r="G198" i="1" s="1"/>
  <c r="D199" i="1"/>
  <c r="E199" i="1" s="1"/>
  <c r="G199" i="1" s="1"/>
  <c r="D200" i="1"/>
  <c r="E200" i="1" s="1"/>
  <c r="G200" i="1" s="1"/>
  <c r="D201" i="1"/>
  <c r="E201" i="1" s="1"/>
  <c r="G201" i="1" s="1"/>
  <c r="D202" i="1"/>
  <c r="E202" i="1" s="1"/>
  <c r="G202" i="1" s="1"/>
  <c r="D203" i="1"/>
  <c r="E203" i="1" s="1"/>
  <c r="G203" i="1" s="1"/>
  <c r="D204" i="1"/>
  <c r="E204" i="1" s="1"/>
  <c r="G204" i="1" s="1"/>
  <c r="D205" i="1"/>
  <c r="E205" i="1" s="1"/>
  <c r="G205" i="1" s="1"/>
  <c r="D206" i="1"/>
  <c r="E206" i="1" s="1"/>
  <c r="G206" i="1" s="1"/>
  <c r="D207" i="1"/>
  <c r="E207" i="1" s="1"/>
  <c r="D208" i="1"/>
  <c r="E208" i="1" s="1"/>
  <c r="G208" i="1" s="1"/>
  <c r="D209" i="1"/>
  <c r="E209" i="1" s="1"/>
  <c r="G209" i="1" s="1"/>
  <c r="D210" i="1"/>
  <c r="E210" i="1" s="1"/>
  <c r="D211" i="1"/>
  <c r="E211" i="1" s="1"/>
  <c r="D212" i="1"/>
  <c r="E212" i="1" s="1"/>
  <c r="G212" i="1" s="1"/>
  <c r="D213" i="1"/>
  <c r="E213" i="1" s="1"/>
  <c r="D214" i="1"/>
  <c r="E214" i="1" s="1"/>
  <c r="D215" i="1"/>
  <c r="E215" i="1" s="1"/>
  <c r="G215" i="1" s="1"/>
  <c r="E216" i="1"/>
  <c r="G216" i="1" s="1"/>
  <c r="E217" i="1"/>
  <c r="G217" i="1" s="1"/>
  <c r="E218" i="1"/>
  <c r="G218" i="1" s="1"/>
  <c r="D219" i="1"/>
  <c r="E219" i="1" s="1"/>
  <c r="D220" i="1"/>
  <c r="E220" i="1" s="1"/>
  <c r="G220" i="1" s="1"/>
  <c r="D221" i="1"/>
  <c r="E221" i="1" s="1"/>
  <c r="G221" i="1" s="1"/>
  <c r="D222" i="1"/>
  <c r="E222" i="1" s="1"/>
  <c r="G222" i="1" s="1"/>
  <c r="D223" i="1"/>
  <c r="E223" i="1" s="1"/>
  <c r="G223" i="1" s="1"/>
  <c r="D224" i="1"/>
  <c r="E224" i="1" s="1"/>
  <c r="G224" i="1" s="1"/>
  <c r="D225" i="1"/>
  <c r="E225" i="1" s="1"/>
  <c r="D226" i="1"/>
  <c r="E226" i="1" s="1"/>
  <c r="G226" i="1" s="1"/>
  <c r="D227" i="1"/>
  <c r="E227" i="1" s="1"/>
  <c r="G227" i="1" s="1"/>
  <c r="D228" i="1"/>
  <c r="E228" i="1" s="1"/>
  <c r="G228" i="1" s="1"/>
  <c r="D229" i="1"/>
  <c r="E229" i="1" s="1"/>
  <c r="G229" i="1" s="1"/>
  <c r="D230" i="1"/>
  <c r="E230" i="1" s="1"/>
  <c r="G230" i="1" s="1"/>
  <c r="D231" i="1"/>
  <c r="E231" i="1" s="1"/>
  <c r="D232" i="1"/>
  <c r="E232" i="1" s="1"/>
  <c r="G232" i="1" s="1"/>
  <c r="D233" i="1"/>
  <c r="E233" i="1" s="1"/>
  <c r="G233" i="1" s="1"/>
  <c r="D234" i="1"/>
  <c r="E234" i="1" s="1"/>
  <c r="G234" i="1" s="1"/>
  <c r="D235" i="1"/>
  <c r="E235" i="1" s="1"/>
  <c r="G235" i="1" s="1"/>
  <c r="D236" i="1"/>
  <c r="E236" i="1" s="1"/>
  <c r="D237" i="1"/>
  <c r="E237" i="1" s="1"/>
  <c r="G237" i="1" s="1"/>
  <c r="D238" i="1"/>
  <c r="E238" i="1" s="1"/>
  <c r="G238" i="1" s="1"/>
  <c r="D239" i="1"/>
  <c r="E239" i="1" s="1"/>
  <c r="G239" i="1" s="1"/>
  <c r="D240" i="1"/>
  <c r="E240" i="1" s="1"/>
  <c r="G240" i="1" s="1"/>
  <c r="D241" i="1"/>
  <c r="E241" i="1" s="1"/>
  <c r="G241" i="1" s="1"/>
  <c r="D242" i="1"/>
  <c r="E242" i="1" s="1"/>
  <c r="G242" i="1" s="1"/>
  <c r="D243" i="1"/>
  <c r="E243" i="1" s="1"/>
  <c r="D244" i="1"/>
  <c r="E244" i="1" s="1"/>
  <c r="G244" i="1" s="1"/>
  <c r="D245" i="1"/>
  <c r="E245" i="1" s="1"/>
  <c r="G245" i="1" s="1"/>
  <c r="D246" i="1"/>
  <c r="E246" i="1" s="1"/>
  <c r="G246" i="1" s="1"/>
  <c r="D247" i="1"/>
  <c r="E247" i="1" s="1"/>
  <c r="G247" i="1" s="1"/>
  <c r="D248" i="1"/>
  <c r="E248" i="1" s="1"/>
  <c r="G248" i="1" s="1"/>
  <c r="D249" i="1"/>
  <c r="E249" i="1" s="1"/>
  <c r="G249" i="1" s="1"/>
  <c r="D250" i="1"/>
  <c r="E250" i="1" s="1"/>
  <c r="G250" i="1" s="1"/>
  <c r="D251" i="1"/>
  <c r="E251" i="1" s="1"/>
  <c r="G251" i="1" s="1"/>
  <c r="D252" i="1"/>
  <c r="E252" i="1" s="1"/>
  <c r="G252" i="1" s="1"/>
  <c r="D253" i="1"/>
  <c r="E253" i="1" s="1"/>
  <c r="G253" i="1" s="1"/>
  <c r="D254" i="1"/>
  <c r="E254" i="1" s="1"/>
  <c r="G254" i="1" s="1"/>
  <c r="D255" i="1"/>
  <c r="D256" i="1"/>
  <c r="E256" i="1" s="1"/>
  <c r="G256" i="1" s="1"/>
  <c r="D257" i="1"/>
  <c r="E257" i="1" s="1"/>
  <c r="G257" i="1" s="1"/>
  <c r="D258" i="1"/>
  <c r="E258" i="1" s="1"/>
  <c r="G258" i="1" s="1"/>
  <c r="D259" i="1"/>
  <c r="E259" i="1" s="1"/>
  <c r="G259" i="1" s="1"/>
  <c r="D260" i="1"/>
  <c r="E260" i="1" s="1"/>
  <c r="G260" i="1" s="1"/>
  <c r="D261" i="1"/>
  <c r="E261" i="1" s="1"/>
  <c r="G261" i="1" s="1"/>
  <c r="D262" i="1"/>
  <c r="E262" i="1" s="1"/>
  <c r="G262" i="1" s="1"/>
  <c r="D263" i="1"/>
  <c r="E263" i="1" s="1"/>
  <c r="G263" i="1" s="1"/>
  <c r="D264" i="1"/>
  <c r="E264" i="1" s="1"/>
  <c r="G264" i="1" s="1"/>
  <c r="D265" i="1"/>
  <c r="E265" i="1" s="1"/>
  <c r="G265" i="1" s="1"/>
  <c r="D266" i="1"/>
  <c r="E266" i="1" s="1"/>
  <c r="G266" i="1" s="1"/>
  <c r="D267" i="1"/>
  <c r="E267" i="1" s="1"/>
  <c r="G267" i="1" s="1"/>
  <c r="D268" i="1"/>
  <c r="E268" i="1" s="1"/>
  <c r="G268" i="1" s="1"/>
  <c r="D269" i="1"/>
  <c r="E269" i="1" s="1"/>
  <c r="G269" i="1" s="1"/>
  <c r="D270" i="1"/>
  <c r="E270" i="1" s="1"/>
  <c r="D271" i="1"/>
  <c r="E271" i="1" s="1"/>
  <c r="G271" i="1" s="1"/>
  <c r="D272" i="1"/>
  <c r="E272" i="1" s="1"/>
  <c r="G272" i="1" s="1"/>
  <c r="D273" i="1"/>
  <c r="E273" i="1" s="1"/>
  <c r="G273" i="1" s="1"/>
  <c r="D274" i="1"/>
  <c r="E274" i="1" s="1"/>
  <c r="G274" i="1" s="1"/>
  <c r="D275" i="1"/>
  <c r="E275" i="1" s="1"/>
  <c r="G275" i="1" s="1"/>
  <c r="D276" i="1"/>
  <c r="E276" i="1" s="1"/>
  <c r="G276" i="1" s="1"/>
  <c r="D277" i="1"/>
  <c r="E277" i="1" s="1"/>
  <c r="G277" i="1" s="1"/>
  <c r="D278" i="1"/>
  <c r="E278" i="1" s="1"/>
  <c r="G278" i="1" s="1"/>
  <c r="D279" i="1"/>
  <c r="E279" i="1" s="1"/>
  <c r="G279" i="1" s="1"/>
  <c r="D280" i="1"/>
  <c r="E280" i="1" s="1"/>
  <c r="G280" i="1" s="1"/>
  <c r="D281" i="1"/>
  <c r="E281" i="1" s="1"/>
  <c r="G281" i="1" s="1"/>
  <c r="D282" i="1"/>
  <c r="E282" i="1" s="1"/>
  <c r="G282" i="1" s="1"/>
  <c r="D283" i="1"/>
  <c r="E283" i="1" s="1"/>
  <c r="G283" i="1" s="1"/>
  <c r="D284" i="1"/>
  <c r="E284" i="1" s="1"/>
  <c r="G284" i="1" s="1"/>
  <c r="D285" i="1"/>
  <c r="E285" i="1" s="1"/>
  <c r="G285" i="1" s="1"/>
  <c r="D286" i="1"/>
  <c r="E286" i="1" s="1"/>
  <c r="G286" i="1" s="1"/>
  <c r="D287" i="1"/>
  <c r="E287" i="1" s="1"/>
  <c r="G287" i="1" s="1"/>
  <c r="D288" i="1"/>
  <c r="D289" i="1"/>
  <c r="E289" i="1" s="1"/>
  <c r="G289" i="1" s="1"/>
  <c r="D290" i="1"/>
  <c r="E290" i="1" s="1"/>
  <c r="G290" i="1" s="1"/>
  <c r="D291" i="1"/>
  <c r="E291" i="1" s="1"/>
  <c r="G291" i="1" s="1"/>
  <c r="D292" i="1"/>
  <c r="E292" i="1" s="1"/>
  <c r="G292" i="1" s="1"/>
  <c r="D293" i="1"/>
  <c r="E293" i="1" s="1"/>
  <c r="G293" i="1" s="1"/>
  <c r="D294" i="1"/>
  <c r="E294" i="1" s="1"/>
  <c r="D295" i="1"/>
  <c r="E295" i="1" s="1"/>
  <c r="G295" i="1" s="1"/>
  <c r="D296" i="1"/>
  <c r="E296" i="1" s="1"/>
  <c r="G296" i="1" s="1"/>
  <c r="D297" i="1"/>
  <c r="E297" i="1" s="1"/>
  <c r="D298" i="1"/>
  <c r="E298" i="1" s="1"/>
  <c r="G298" i="1" s="1"/>
  <c r="D299" i="1"/>
  <c r="E299" i="1" s="1"/>
  <c r="G299" i="1" s="1"/>
  <c r="D300" i="1"/>
  <c r="E300" i="1" s="1"/>
  <c r="G300" i="1" s="1"/>
  <c r="D301" i="1"/>
  <c r="E301" i="1" s="1"/>
  <c r="G301" i="1" s="1"/>
  <c r="D302" i="1"/>
  <c r="E302" i="1" s="1"/>
  <c r="G302" i="1" s="1"/>
  <c r="D303" i="1"/>
  <c r="E303" i="1" s="1"/>
  <c r="G303" i="1" s="1"/>
  <c r="D304" i="1"/>
  <c r="E304" i="1" s="1"/>
  <c r="G304" i="1" s="1"/>
  <c r="D305" i="1"/>
  <c r="E305" i="1" s="1"/>
  <c r="G305" i="1" s="1"/>
  <c r="D306" i="1"/>
  <c r="E306" i="1" s="1"/>
  <c r="G306" i="1" s="1"/>
  <c r="D307" i="1"/>
  <c r="E307" i="1" s="1"/>
  <c r="G307" i="1" s="1"/>
  <c r="D308" i="1"/>
  <c r="E308" i="1" s="1"/>
  <c r="G308" i="1" s="1"/>
  <c r="D309" i="1"/>
  <c r="E309" i="1" s="1"/>
  <c r="D310" i="1"/>
  <c r="E310" i="1" s="1"/>
  <c r="G310" i="1" s="1"/>
  <c r="D311" i="1"/>
  <c r="E311" i="1" s="1"/>
  <c r="G311" i="1" s="1"/>
  <c r="D312" i="1"/>
  <c r="E312" i="1" s="1"/>
  <c r="G312" i="1" s="1"/>
  <c r="D313" i="1"/>
  <c r="E313" i="1" s="1"/>
  <c r="G313" i="1" s="1"/>
  <c r="D314" i="1"/>
  <c r="E314" i="1" s="1"/>
  <c r="G314" i="1" s="1"/>
  <c r="D315" i="1"/>
  <c r="E315" i="1" s="1"/>
  <c r="D316" i="1"/>
  <c r="D317" i="1"/>
  <c r="E317" i="1" s="1"/>
  <c r="G317" i="1" s="1"/>
  <c r="D318" i="1"/>
  <c r="E318" i="1" s="1"/>
  <c r="G318" i="1" s="1"/>
  <c r="D319" i="1"/>
  <c r="E319" i="1" s="1"/>
  <c r="G319" i="1" s="1"/>
  <c r="D320" i="1"/>
  <c r="E320" i="1" s="1"/>
  <c r="G320" i="1" s="1"/>
  <c r="D321" i="1"/>
  <c r="E321" i="1" s="1"/>
  <c r="G321" i="1" s="1"/>
  <c r="D322" i="1"/>
  <c r="D323" i="1"/>
  <c r="D324" i="1"/>
  <c r="D325" i="1"/>
  <c r="D3" i="1"/>
  <c r="E3" i="1" s="1"/>
  <c r="G343" i="1" l="1"/>
  <c r="G138" i="1"/>
  <c r="G137" i="1"/>
  <c r="G136" i="1"/>
  <c r="G131" i="1"/>
  <c r="G126" i="1"/>
  <c r="G125" i="1"/>
  <c r="G124" i="1"/>
  <c r="G117" i="1"/>
  <c r="G112" i="1"/>
  <c r="G110" i="1"/>
  <c r="G41" i="1"/>
  <c r="G40" i="1"/>
  <c r="G38" i="1"/>
  <c r="G35" i="1"/>
  <c r="G309" i="1"/>
  <c r="G333" i="1"/>
  <c r="G214" i="1"/>
  <c r="G297" i="1"/>
  <c r="G294" i="1"/>
  <c r="G225" i="1"/>
  <c r="G213" i="1"/>
  <c r="G211" i="1"/>
  <c r="G210" i="1"/>
  <c r="G177" i="1"/>
  <c r="G176" i="1"/>
  <c r="G175" i="1"/>
  <c r="G148" i="1"/>
  <c r="G146" i="1"/>
  <c r="G315" i="1"/>
  <c r="G243" i="1"/>
  <c r="G231" i="1"/>
  <c r="G219" i="1"/>
  <c r="G207" i="1"/>
  <c r="G195" i="1"/>
  <c r="G183" i="1"/>
  <c r="G171" i="1"/>
  <c r="G159" i="1"/>
  <c r="G147" i="1"/>
  <c r="G135" i="1"/>
  <c r="G123" i="1"/>
  <c r="G111" i="1"/>
  <c r="G99" i="1"/>
  <c r="G87" i="1"/>
  <c r="G75" i="1"/>
  <c r="G63" i="1"/>
  <c r="G51" i="1"/>
  <c r="G39" i="1"/>
  <c r="G27" i="1"/>
  <c r="G15" i="1"/>
  <c r="G173" i="1"/>
  <c r="G236" i="1"/>
  <c r="G270" i="1"/>
  <c r="F3" i="1"/>
  <c r="G3" i="1" s="1"/>
  <c r="I3" i="1" s="1"/>
</calcChain>
</file>

<file path=xl/sharedStrings.xml><?xml version="1.0" encoding="utf-8"?>
<sst xmlns="http://schemas.openxmlformats.org/spreadsheetml/2006/main" count="762" uniqueCount="758">
  <si>
    <t>codigo</t>
  </si>
  <si>
    <t>producto</t>
  </si>
  <si>
    <t>precio de costo</t>
  </si>
  <si>
    <t>ingreso bruto</t>
  </si>
  <si>
    <t>iva</t>
  </si>
  <si>
    <t>costo + iva</t>
  </si>
  <si>
    <t>stock</t>
  </si>
  <si>
    <t>% ganancia</t>
  </si>
  <si>
    <t>||||||</t>
  </si>
  <si>
    <t>|||||||</t>
  </si>
  <si>
    <t>F0000</t>
  </si>
  <si>
    <t>FIX 19X25</t>
  </si>
  <si>
    <t>F0001</t>
  </si>
  <si>
    <t>FIX 22X60</t>
  </si>
  <si>
    <t>F0002</t>
  </si>
  <si>
    <t>FIX 23X50</t>
  </si>
  <si>
    <t>F0003</t>
  </si>
  <si>
    <t>FIX 23X60</t>
  </si>
  <si>
    <t>F0004</t>
  </si>
  <si>
    <t>FIX 18X16</t>
  </si>
  <si>
    <t>F0005</t>
  </si>
  <si>
    <t>FIX 18X20</t>
  </si>
  <si>
    <t>F0006</t>
  </si>
  <si>
    <t>FIX 18X25</t>
  </si>
  <si>
    <t>F0007</t>
  </si>
  <si>
    <t>FIX 19X16</t>
  </si>
  <si>
    <t>F0008</t>
  </si>
  <si>
    <t>FIX 19X20</t>
  </si>
  <si>
    <t>F0009</t>
  </si>
  <si>
    <t>FIX 19X21</t>
  </si>
  <si>
    <t>F0010</t>
  </si>
  <si>
    <t>FIX 19X30</t>
  </si>
  <si>
    <t>F0011</t>
  </si>
  <si>
    <t>FIX 19X35</t>
  </si>
  <si>
    <t>F0012</t>
  </si>
  <si>
    <t>FIX 20X25</t>
  </si>
  <si>
    <t>F0013</t>
  </si>
  <si>
    <t>FIX 20X30</t>
  </si>
  <si>
    <t>F0014</t>
  </si>
  <si>
    <t>FIX 20X40</t>
  </si>
  <si>
    <t>F0015</t>
  </si>
  <si>
    <t>FIX 20X50</t>
  </si>
  <si>
    <t>F0016</t>
  </si>
  <si>
    <t>FIX  21X30</t>
  </si>
  <si>
    <t>F0017</t>
  </si>
  <si>
    <t>FIX 21X35</t>
  </si>
  <si>
    <t>F0018</t>
  </si>
  <si>
    <t>FIX 21X40</t>
  </si>
  <si>
    <t>F0019</t>
  </si>
  <si>
    <t>FIX 21X45</t>
  </si>
  <si>
    <t>F0020</t>
  </si>
  <si>
    <t>FIX 21X50</t>
  </si>
  <si>
    <t>F0021</t>
  </si>
  <si>
    <t>FIX 21X60</t>
  </si>
  <si>
    <t>F0022</t>
  </si>
  <si>
    <t>FIX 22X40</t>
  </si>
  <si>
    <t>F0023</t>
  </si>
  <si>
    <t>FIX 22X45</t>
  </si>
  <si>
    <t>F0024</t>
  </si>
  <si>
    <t>FIX 22X50</t>
  </si>
  <si>
    <t>F0025</t>
  </si>
  <si>
    <t>BARILLA ENROSCADA 3/16</t>
  </si>
  <si>
    <t>F0026</t>
  </si>
  <si>
    <t>BARILLA ENROSCADA  1/4</t>
  </si>
  <si>
    <t>F0027</t>
  </si>
  <si>
    <t>BARILLA ENROSCADA 5/16</t>
  </si>
  <si>
    <t>F0028</t>
  </si>
  <si>
    <t>BARILLA ENROSCADA 3/8</t>
  </si>
  <si>
    <t>F0029</t>
  </si>
  <si>
    <t>BARILLA ENROSCADA 7/16</t>
  </si>
  <si>
    <t>F0030</t>
  </si>
  <si>
    <t>BARILLA EROSCADA 1/2</t>
  </si>
  <si>
    <t>F0031</t>
  </si>
  <si>
    <t>TIRAFONDO 3/16 X 1 1/2</t>
  </si>
  <si>
    <t>F0032</t>
  </si>
  <si>
    <t>TIRAFONDO 3/16 X 1 3/4</t>
  </si>
  <si>
    <t>F0033</t>
  </si>
  <si>
    <t>TIRAFONDO 3/16 X 2</t>
  </si>
  <si>
    <t>F0034</t>
  </si>
  <si>
    <t>TIRAFONDO 1/4 X 2</t>
  </si>
  <si>
    <t>F0035</t>
  </si>
  <si>
    <t>TIRAFONDO 1/4X 2 1/2</t>
  </si>
  <si>
    <t>F0036</t>
  </si>
  <si>
    <t>TIRAFONDO 1/4X3</t>
  </si>
  <si>
    <t>F0037</t>
  </si>
  <si>
    <t>TIRAFONDO 5/16X2 1/2</t>
  </si>
  <si>
    <t>F0038</t>
  </si>
  <si>
    <t>A.GROWER 1/4</t>
  </si>
  <si>
    <t>A.GROWER 5/16</t>
  </si>
  <si>
    <t>F0040</t>
  </si>
  <si>
    <t>A.GROWER 7/16</t>
  </si>
  <si>
    <t>F0041</t>
  </si>
  <si>
    <t>A.GROWER 1/2</t>
  </si>
  <si>
    <t>F0042</t>
  </si>
  <si>
    <t xml:space="preserve">C/RED 1/4 X 4 BULON </t>
  </si>
  <si>
    <t>F0043</t>
  </si>
  <si>
    <t>TIRAFONDO 1/4 X 4</t>
  </si>
  <si>
    <t>F0044</t>
  </si>
  <si>
    <t>TIRAFONDO 5/16X2</t>
  </si>
  <si>
    <t>F0045</t>
  </si>
  <si>
    <t>TIRAFONDO 5/16X3</t>
  </si>
  <si>
    <t>F0046</t>
  </si>
  <si>
    <t>TIRAFONDO 5/16X4</t>
  </si>
  <si>
    <t>F0047</t>
  </si>
  <si>
    <t>TORNILLO PARQUE 5/32X1</t>
  </si>
  <si>
    <t>F0048</t>
  </si>
  <si>
    <t>TORNILLO PARQUE 5/32X1 1/2</t>
  </si>
  <si>
    <t>F0049</t>
  </si>
  <si>
    <t>TORNILLO PARQUE 5/32X2</t>
  </si>
  <si>
    <t>F0050</t>
  </si>
  <si>
    <t>TORNILLO PARQUE 5/32X2 1/2</t>
  </si>
  <si>
    <t>F0051</t>
  </si>
  <si>
    <t>BULON EXAGONAL 1/4X1/2</t>
  </si>
  <si>
    <t>F0052</t>
  </si>
  <si>
    <t>BULON EXAGONAL 1/4X1</t>
  </si>
  <si>
    <t>F0053</t>
  </si>
  <si>
    <t xml:space="preserve">BULON EXAGONAL 1 1/2 </t>
  </si>
  <si>
    <t>F0054</t>
  </si>
  <si>
    <t>BULON EXAGONAL 1/4X2</t>
  </si>
  <si>
    <t>F0055</t>
  </si>
  <si>
    <t>BULON EXAGONAL 1/4X2 1/2</t>
  </si>
  <si>
    <t>F0056</t>
  </si>
  <si>
    <t>BULON EXAGONAL 1/4X3</t>
  </si>
  <si>
    <t>F0057</t>
  </si>
  <si>
    <t>BULON EXAGONAL 5/16X1</t>
  </si>
  <si>
    <t>F0058</t>
  </si>
  <si>
    <t xml:space="preserve">BULON EXAGONAL 5/16 X 1 1/2 </t>
  </si>
  <si>
    <t>F0059</t>
  </si>
  <si>
    <t>BULON EXAGONAL 5/16X2</t>
  </si>
  <si>
    <t>F0060</t>
  </si>
  <si>
    <t>BULON EXAGONAL 5/16X 2 1/2</t>
  </si>
  <si>
    <t>F0061</t>
  </si>
  <si>
    <t>BULON EXAGONAL 5/16x3</t>
  </si>
  <si>
    <t>F0062</t>
  </si>
  <si>
    <t>BULON EXAGONAL 3/8x1</t>
  </si>
  <si>
    <t>F0063</t>
  </si>
  <si>
    <t>BULON EXAGONAL 3/8X1 1/2</t>
  </si>
  <si>
    <t>F0064</t>
  </si>
  <si>
    <t>BULON EXAGONAL 3/8X2</t>
  </si>
  <si>
    <t>F0065</t>
  </si>
  <si>
    <t>BULON C/PUNTA RED. 1/4X2</t>
  </si>
  <si>
    <t>F0066</t>
  </si>
  <si>
    <t>BULON C/PUNTA RED. 1/4X2 1/2</t>
  </si>
  <si>
    <t>F0067</t>
  </si>
  <si>
    <t>BULON C/PUNTA RED. 1/4X3</t>
  </si>
  <si>
    <t>F0068</t>
  </si>
  <si>
    <t>BULON C/PUNTA RED. 5/16X2</t>
  </si>
  <si>
    <t>F0069</t>
  </si>
  <si>
    <t>BULON C/PUNTA RED. 5/16X21/2</t>
  </si>
  <si>
    <t>F0070</t>
  </si>
  <si>
    <t>BULON C/PUNTA RED. 5/16X 3</t>
  </si>
  <si>
    <t>F0071</t>
  </si>
  <si>
    <t xml:space="preserve">TORNILLO PARKER 8X1/2  </t>
  </si>
  <si>
    <t>F0072</t>
  </si>
  <si>
    <t xml:space="preserve">TORNILLO PARKER 8X3/4 </t>
  </si>
  <si>
    <t>F0073</t>
  </si>
  <si>
    <t>TORNILLO PARKER 8X1</t>
  </si>
  <si>
    <t>F0074</t>
  </si>
  <si>
    <t>TORNILLO PARKER 8X1 1/2</t>
  </si>
  <si>
    <t>F0075</t>
  </si>
  <si>
    <t>TORNILLO PARKER 8X2</t>
  </si>
  <si>
    <t>F0076</t>
  </si>
  <si>
    <t>TORNILLO PARKER 10X3/4</t>
  </si>
  <si>
    <t>F0077</t>
  </si>
  <si>
    <t>TORNILLO PARKER 10X1</t>
  </si>
  <si>
    <t>F0078</t>
  </si>
  <si>
    <t>TORNILLO PARKER 10X1 1/2</t>
  </si>
  <si>
    <t>F0079</t>
  </si>
  <si>
    <t>TORNILLO PARKER 10X2</t>
  </si>
  <si>
    <t>F0080</t>
  </si>
  <si>
    <t>TORNILLO PARKER 12X1 1/2</t>
  </si>
  <si>
    <t>F0081</t>
  </si>
  <si>
    <t>TORNILLO PARKER 12X2</t>
  </si>
  <si>
    <t>F0082</t>
  </si>
  <si>
    <t>TUERCAS 1/4 W</t>
  </si>
  <si>
    <t>F0083</t>
  </si>
  <si>
    <t>TUERCAS 5/16W</t>
  </si>
  <si>
    <t>F0084</t>
  </si>
  <si>
    <t>TUERCAS 3/8W</t>
  </si>
  <si>
    <t>F0085</t>
  </si>
  <si>
    <t>TUERCAS 7/16W</t>
  </si>
  <si>
    <t>F0086</t>
  </si>
  <si>
    <t>TUERCAS 1/2W</t>
  </si>
  <si>
    <t>F0087</t>
  </si>
  <si>
    <t>TUERCAS 3/16W</t>
  </si>
  <si>
    <t>F0088</t>
  </si>
  <si>
    <t>TUERCAS 5/32W</t>
  </si>
  <si>
    <t>F0089</t>
  </si>
  <si>
    <t>TORNILLO P/TANQUE 3/16X1</t>
  </si>
  <si>
    <t>F0090</t>
  </si>
  <si>
    <t>TORNILLO P/TANQUE 3/16X1 1/2</t>
  </si>
  <si>
    <t>F0091</t>
  </si>
  <si>
    <t>TORNILLO P/TANQUE 3/16X2</t>
  </si>
  <si>
    <t>F0092</t>
  </si>
  <si>
    <t>TORNILLO P/TANQUE 3/16X2 1/2</t>
  </si>
  <si>
    <t>F0093</t>
  </si>
  <si>
    <t>TORNILLO P/TANQUE 3/16X3</t>
  </si>
  <si>
    <t>F0094</t>
  </si>
  <si>
    <t>TORNILLO P/TANQUE 3/16X 1/2</t>
  </si>
  <si>
    <t>F0095</t>
  </si>
  <si>
    <t>TORNILLO C/ EXAG. P/M 14X1</t>
  </si>
  <si>
    <t>F0096</t>
  </si>
  <si>
    <t>TORNILLO C/ EXAG. P/M 14X11/2</t>
  </si>
  <si>
    <t>F0097</t>
  </si>
  <si>
    <t>TORNILLO C/ EXAG. P/M 14X2</t>
  </si>
  <si>
    <t>F0098</t>
  </si>
  <si>
    <t>TORNILLO C/ EXAG. P/M 14X21/2</t>
  </si>
  <si>
    <t>F0099</t>
  </si>
  <si>
    <t>TORNILLO C/ EXAG.P/A 14X2</t>
  </si>
  <si>
    <t>F0100</t>
  </si>
  <si>
    <t>TORNILLO C/ EXAG. P/A 14X21/2</t>
  </si>
  <si>
    <t>F0101</t>
  </si>
  <si>
    <t>TORNILLO C/ EXAG. P/A 14X3</t>
  </si>
  <si>
    <t>F0102</t>
  </si>
  <si>
    <t>TORNILLO TROMPETA P/M 6X1</t>
  </si>
  <si>
    <t>F0103</t>
  </si>
  <si>
    <t>TORNILLO TROMPETA P/M 6X11/2</t>
  </si>
  <si>
    <t>F0104</t>
  </si>
  <si>
    <t>TORNILLO FUELLE P/A 8X1/2</t>
  </si>
  <si>
    <t>F0105</t>
  </si>
  <si>
    <t>TORNILLO FUELLE P/A 8X3/4</t>
  </si>
  <si>
    <t>F0106</t>
  </si>
  <si>
    <t>TORNILLO FUELLE P/M 8X 1/2</t>
  </si>
  <si>
    <t>F0107</t>
  </si>
  <si>
    <t>TORNILLO FUELLE P/M 8X1</t>
  </si>
  <si>
    <t>F0108</t>
  </si>
  <si>
    <t>TORNILLO FUELLE P/M 8X11/2</t>
  </si>
  <si>
    <t>F0109</t>
  </si>
  <si>
    <t>TORNILLO FUELLE P/M 8X3/4</t>
  </si>
  <si>
    <t>F0110</t>
  </si>
  <si>
    <t>ARANDALEA 3/16</t>
  </si>
  <si>
    <t>F0111</t>
  </si>
  <si>
    <t>ARANDALEA 1/4</t>
  </si>
  <si>
    <t>F0112</t>
  </si>
  <si>
    <t>ARANDALEA 5/16</t>
  </si>
  <si>
    <t>F0113</t>
  </si>
  <si>
    <t>ARANDALEA 3/8</t>
  </si>
  <si>
    <t>F0114</t>
  </si>
  <si>
    <t>ARANDALEA 7/16</t>
  </si>
  <si>
    <t>F0115</t>
  </si>
  <si>
    <t>ARANDALEA 1/2</t>
  </si>
  <si>
    <t>F0116</t>
  </si>
  <si>
    <t>TORNILLO C/TROMPETA MAD. 6X 5/8</t>
  </si>
  <si>
    <t>F0117</t>
  </si>
  <si>
    <t>TORNILLO C/TROMPETA MAD. 6X3/4</t>
  </si>
  <si>
    <t>F0118</t>
  </si>
  <si>
    <t>TORNILLO C/TROMPETA MAD. 6X1</t>
  </si>
  <si>
    <t>F0119</t>
  </si>
  <si>
    <t>TORNILLO C/TROMPETA MAD. 6X11/4</t>
  </si>
  <si>
    <t>F0120</t>
  </si>
  <si>
    <t>TORNILLO C/TROMPETA MAD. 6X11/2</t>
  </si>
  <si>
    <t>F0121</t>
  </si>
  <si>
    <t>TORNILLO C/TROMPETA MAD. 6X2</t>
  </si>
  <si>
    <t>F0122</t>
  </si>
  <si>
    <t>TORNILLO C/TROMPETA MAD. 6X21/2</t>
  </si>
  <si>
    <t>F0123</t>
  </si>
  <si>
    <t>TORNILLO C/TROMPETA MAD. 6X3</t>
  </si>
  <si>
    <t>F0124</t>
  </si>
  <si>
    <t>TORNILLO C/TROMPETA MAD. 8X2</t>
  </si>
  <si>
    <t>F0125</t>
  </si>
  <si>
    <t>TORNILLO C/TROMPETA MAD. 8X21/2</t>
  </si>
  <si>
    <t>F0126</t>
  </si>
  <si>
    <t>TORNILLO PARKER C/C 4X1/2</t>
  </si>
  <si>
    <t>F0127</t>
  </si>
  <si>
    <t>TORNILLO PARKER C/C 4x3/6</t>
  </si>
  <si>
    <t>F0128</t>
  </si>
  <si>
    <t>TORNILLO PARKER C/C 4/1</t>
  </si>
  <si>
    <t>F0129</t>
  </si>
  <si>
    <t>TORNILLO PARKER C/C 6x1/2</t>
  </si>
  <si>
    <t>F0130</t>
  </si>
  <si>
    <t>TORNILLO PARKER C/C 6x3/4</t>
  </si>
  <si>
    <t>F0131</t>
  </si>
  <si>
    <t>TORNILLO PARKER C/C 6x1</t>
  </si>
  <si>
    <t>F0132</t>
  </si>
  <si>
    <t>TORNILLO PARKER C/C 7X1/2</t>
  </si>
  <si>
    <t>F0133</t>
  </si>
  <si>
    <t>TORNILLO PARKER C/C 7X3/4</t>
  </si>
  <si>
    <t>F0134</t>
  </si>
  <si>
    <t>TORNILLO PARKER C/C 7X1</t>
  </si>
  <si>
    <t>F0135</t>
  </si>
  <si>
    <t>TORNILLO PARKER C/C  7X1 1/4</t>
  </si>
  <si>
    <t>F0136</t>
  </si>
  <si>
    <t>PITONES N°6 ABIERTO S/TOPE</t>
  </si>
  <si>
    <t>F0137</t>
  </si>
  <si>
    <t>PITONES N°6 CERRADO S/TOPE</t>
  </si>
  <si>
    <t>F0138</t>
  </si>
  <si>
    <t>PITONES N°6  ESCUADRA  S/TOPE</t>
  </si>
  <si>
    <t>F0139</t>
  </si>
  <si>
    <t>PITONES N°6 ABIERTO C/TOPE</t>
  </si>
  <si>
    <t>F0140</t>
  </si>
  <si>
    <t>PITONES N°6 CERRADO C/TOPE</t>
  </si>
  <si>
    <t>F0141</t>
  </si>
  <si>
    <t>PITONES N°6 ESCUADRA</t>
  </si>
  <si>
    <t>F0142</t>
  </si>
  <si>
    <t>F0143</t>
  </si>
  <si>
    <t>10KG</t>
  </si>
  <si>
    <t>F0144</t>
  </si>
  <si>
    <t>F0145</t>
  </si>
  <si>
    <t>CLAVO 21/2</t>
  </si>
  <si>
    <t>F0146</t>
  </si>
  <si>
    <t>20KG</t>
  </si>
  <si>
    <t>F0147</t>
  </si>
  <si>
    <t>TARUGO N°5</t>
  </si>
  <si>
    <t>F0148</t>
  </si>
  <si>
    <t>TARUGO N°6</t>
  </si>
  <si>
    <t>F0149</t>
  </si>
  <si>
    <t>TARUGO N°8</t>
  </si>
  <si>
    <t>F0150</t>
  </si>
  <si>
    <t>TARUGO N°10</t>
  </si>
  <si>
    <t>F0151</t>
  </si>
  <si>
    <t>TARUGO N°12</t>
  </si>
  <si>
    <t>F0152</t>
  </si>
  <si>
    <t>TARUGO SPICA N°6</t>
  </si>
  <si>
    <t>F0153</t>
  </si>
  <si>
    <t>TARUGO SPICA N°8</t>
  </si>
  <si>
    <t>F0154</t>
  </si>
  <si>
    <t>TARUGO SPICA N°10</t>
  </si>
  <si>
    <t>F0155</t>
  </si>
  <si>
    <t>TARUGO SPICA N°12</t>
  </si>
  <si>
    <t>F0156</t>
  </si>
  <si>
    <t>TARUGO CON TOPE N°6</t>
  </si>
  <si>
    <t>F0157</t>
  </si>
  <si>
    <t>TARUGO CON TOPE N°8</t>
  </si>
  <si>
    <t>F0158</t>
  </si>
  <si>
    <t>TARUGO CON TOPE N°10</t>
  </si>
  <si>
    <t>F0159</t>
  </si>
  <si>
    <t>TARUGO CON TOPE N°12</t>
  </si>
  <si>
    <t>F0160</t>
  </si>
  <si>
    <t>CLAVO CABEZA DE PLOMO 2,1/2</t>
  </si>
  <si>
    <t>F0161</t>
  </si>
  <si>
    <t xml:space="preserve">CLAVO CABEZA DE PLOMO 3 </t>
  </si>
  <si>
    <t>F0162</t>
  </si>
  <si>
    <t>CLAVO CABEZA CHATA 6X10</t>
  </si>
  <si>
    <t>F0163</t>
  </si>
  <si>
    <t>CLAVO CABEZA PERDIDA 8X16</t>
  </si>
  <si>
    <t>F0164</t>
  </si>
  <si>
    <t>CLAVO CABEZA CHATA 9X20</t>
  </si>
  <si>
    <t>F0165</t>
  </si>
  <si>
    <t>CLAVO CABEZA PERDIDA 9X20</t>
  </si>
  <si>
    <t>F0166</t>
  </si>
  <si>
    <t>ALAMBRE GALBANIZADO N°10 1kg</t>
  </si>
  <si>
    <t>F0167</t>
  </si>
  <si>
    <t>ALAMBRE GALVANIZADO N°14 2,03MM 1kg</t>
  </si>
  <si>
    <t>F0168</t>
  </si>
  <si>
    <t>MEMBRANA ROLLO NRO 2</t>
  </si>
  <si>
    <t>F0169</t>
  </si>
  <si>
    <t>RUBEROI PESADO 1X20</t>
  </si>
  <si>
    <t>F0170</t>
  </si>
  <si>
    <t>RUBEROI LIVIANO 1X20</t>
  </si>
  <si>
    <t>F0171</t>
  </si>
  <si>
    <t>MECHAS PARED ZETA 5 FUNDA VERDE</t>
  </si>
  <si>
    <t>F0172</t>
  </si>
  <si>
    <t>MECHA PARED ZETA 6 FUNDA VERDE</t>
  </si>
  <si>
    <t>F0173</t>
  </si>
  <si>
    <t>MECHA PARED ZETA 8 FUNDA VERDE</t>
  </si>
  <si>
    <t>F0174</t>
  </si>
  <si>
    <t>MECHA PARED ZETA 10 FUNDA VERDE</t>
  </si>
  <si>
    <t>F0175</t>
  </si>
  <si>
    <t>BULON c/redonda 1/4x4</t>
  </si>
  <si>
    <t>F0176</t>
  </si>
  <si>
    <t>Clavo cabeza chata 9/20 1kg</t>
  </si>
  <si>
    <t>F0177</t>
  </si>
  <si>
    <t>F0178</t>
  </si>
  <si>
    <t xml:space="preserve">clavo cabeza de plomo 2,1/2x 100unidades </t>
  </si>
  <si>
    <t>F0179</t>
  </si>
  <si>
    <t>clavo cabeza de plomo 3¨ x100 inidades</t>
  </si>
  <si>
    <t>F0180</t>
  </si>
  <si>
    <t>clavo cabeza chata 6x10 1kg</t>
  </si>
  <si>
    <t>F0181</t>
  </si>
  <si>
    <t>clavo cabeza perdida 8x16 1kg</t>
  </si>
  <si>
    <t>F0182</t>
  </si>
  <si>
    <t>F0183</t>
  </si>
  <si>
    <t>F0184</t>
  </si>
  <si>
    <t>1527-13</t>
  </si>
  <si>
    <t>Bisagra atornillar 13cm. PL de 32x 3mm</t>
  </si>
  <si>
    <t>1527-20</t>
  </si>
  <si>
    <t>Bisagra atornillar 20cm. PL. 32x3</t>
  </si>
  <si>
    <t>1529-13</t>
  </si>
  <si>
    <t>Bisa. Doble ala 13cm Liv.Pl 32x3mm c/per</t>
  </si>
  <si>
    <t>1529-20</t>
  </si>
  <si>
    <t>Bisa. Doble ala 20cm LIV.PL.32X3</t>
  </si>
  <si>
    <t>1528-20</t>
  </si>
  <si>
    <t>Bisa c/bulon-poste 20cm PL 32x3</t>
  </si>
  <si>
    <t>1540-15</t>
  </si>
  <si>
    <t>Cerrojo 15cm  Redondo 9mm planch de 32x3mm</t>
  </si>
  <si>
    <t>1540-20</t>
  </si>
  <si>
    <t>Cerrojo 20cm redondo 12mm planch de 38x3mm</t>
  </si>
  <si>
    <t>1541-15</t>
  </si>
  <si>
    <t>Pas de piso (S/PTE ATOR)15cm pl.32x3mm</t>
  </si>
  <si>
    <t>1541-30</t>
  </si>
  <si>
    <t>PAS DE PISO (S/PTE. ATOR) 30CM PL.38X3MM</t>
  </si>
  <si>
    <t>1624-12</t>
  </si>
  <si>
    <t>ALDABA PUENTE DE 12cm pl 25x3</t>
  </si>
  <si>
    <t>1624-6</t>
  </si>
  <si>
    <t>aldaba puente de 6cm pl 12x3mm</t>
  </si>
  <si>
    <t>1543-10</t>
  </si>
  <si>
    <t>Pasador 10cm planch de 32x3mm/13x6mm</t>
  </si>
  <si>
    <t>Y98823</t>
  </si>
  <si>
    <t>mensula bracket 200x250</t>
  </si>
  <si>
    <t>Y98833</t>
  </si>
  <si>
    <t>Y98834</t>
  </si>
  <si>
    <t>Escuadra bracket 25x30</t>
  </si>
  <si>
    <t>J33804r3</t>
  </si>
  <si>
    <t>BIS LIBRO 63 AMARILLA</t>
  </si>
  <si>
    <t>J55804R</t>
  </si>
  <si>
    <t>BIS LIBRO 38 AMARILLO</t>
  </si>
  <si>
    <t>J44804R</t>
  </si>
  <si>
    <t>BIS LIBRO 51 AMARILLO</t>
  </si>
  <si>
    <t>Y99702</t>
  </si>
  <si>
    <t>BOHER DOBLE ACCION 101MM4¨ X2</t>
  </si>
  <si>
    <t>MECHBISI</t>
  </si>
  <si>
    <t>MECHA BISONI 5MM FUNDA ROJA</t>
  </si>
  <si>
    <t>MECHA01</t>
  </si>
  <si>
    <t>MECHA AZERO RAPIDO EZETA n°2 SUELTA</t>
  </si>
  <si>
    <t>MECHA 02</t>
  </si>
  <si>
    <t>MECHA AZERO RAPIDO EZETA N°3 SUELTA</t>
  </si>
  <si>
    <t xml:space="preserve"> MECHA 03</t>
  </si>
  <si>
    <t>MECHA AZERO RAPIDO EZETA N°4 SUELTA</t>
  </si>
  <si>
    <t>MECHA04</t>
  </si>
  <si>
    <t>MECHA AZERO RAPIDO EZETA N°5 SUELTA</t>
  </si>
  <si>
    <t>MECHA 05</t>
  </si>
  <si>
    <t xml:space="preserve">MECHA AZERO RAPIDO EZETA N°6 SUELTA </t>
  </si>
  <si>
    <t>MECHA 06</t>
  </si>
  <si>
    <t xml:space="preserve">MECHA AZERO RAPIDO EZETA N°8 SUELTA </t>
  </si>
  <si>
    <t>MECHA 07</t>
  </si>
  <si>
    <t>MECHA AZERO RAPIDO EZETA N°10,25 SUELTA</t>
  </si>
  <si>
    <t>F0185</t>
  </si>
  <si>
    <t>CLAVO PARAGUA 21/2X100 UNID</t>
  </si>
  <si>
    <t>F0186</t>
  </si>
  <si>
    <t>CLAVO PARAGUA 3X100 UNID</t>
  </si>
  <si>
    <t>F0187</t>
  </si>
  <si>
    <t>CLAVO PARAGUA 4X100 UNID</t>
  </si>
  <si>
    <t>F0188</t>
  </si>
  <si>
    <t>PLANCHA DE TELGOPOR 1MTSX1MTS</t>
  </si>
  <si>
    <t>F0189</t>
  </si>
  <si>
    <t>F0190</t>
  </si>
  <si>
    <t>MEMBRANA AUTOADHESIVA 25X0,15MTS</t>
  </si>
  <si>
    <t>F0191</t>
  </si>
  <si>
    <t>MEMBRANA AUTOADHESIVA 10X0,10MTS</t>
  </si>
  <si>
    <t>F0192</t>
  </si>
  <si>
    <t>MEMBRANA AUTOADHESIVA 10X0,15MTS</t>
  </si>
  <si>
    <t>F0193</t>
  </si>
  <si>
    <t>CINTA TAPACERCO VERDE 5CM (CUBRE 20MTS2/400ML)</t>
  </si>
  <si>
    <t>F0194</t>
  </si>
  <si>
    <t>CINTA TAPACERCO NEGRA  6CM (CUBRE 20MTS2/400ML)</t>
  </si>
  <si>
    <t>F0195</t>
  </si>
  <si>
    <t>CLAVO CABEZA PERDIDA 9X25 (1KG)</t>
  </si>
  <si>
    <t>F0196</t>
  </si>
  <si>
    <t>CLAVO CABEZA PERDIDA 9X35 (1KG)</t>
  </si>
  <si>
    <t>F0197</t>
  </si>
  <si>
    <t>F0198</t>
  </si>
  <si>
    <t>F0199</t>
  </si>
  <si>
    <t>ALAMBRE GALVANIZADO N°12XKG</t>
  </si>
  <si>
    <t>F0200</t>
  </si>
  <si>
    <t>ESPUMA AISLANTE DE 1 CARA DE 10MM 1X20MTS</t>
  </si>
  <si>
    <t>F0201</t>
  </si>
  <si>
    <t>MEMBRANA ROLLO NRO4X32KG (APACHE)</t>
  </si>
  <si>
    <t>F0202</t>
  </si>
  <si>
    <t>ALAMBRE TEJIDO CALIBRE 14 ROMBO 21/2 -1/8X10MTS</t>
  </si>
  <si>
    <t>F0203</t>
  </si>
  <si>
    <t>GANCHO J5/16X7¨ GALV</t>
  </si>
  <si>
    <t>F0204</t>
  </si>
  <si>
    <t>GANCHO J5/16X8¨GALV</t>
  </si>
  <si>
    <t>MC12</t>
  </si>
  <si>
    <t>MANGUERA CRISTAL 1/2</t>
  </si>
  <si>
    <t>MC18</t>
  </si>
  <si>
    <t>MANGUERA CRISTAL 3/8</t>
  </si>
  <si>
    <t>Y97321</t>
  </si>
  <si>
    <t>PASADOR CON TRABA RESORTE 45MM</t>
  </si>
  <si>
    <t>Y97322</t>
  </si>
  <si>
    <t>PASADOR CON TRABA RESORTE 45MM NEGRO</t>
  </si>
  <si>
    <t>Y99601</t>
  </si>
  <si>
    <t>BISAGRA T76</t>
  </si>
  <si>
    <t>PNT216C</t>
  </si>
  <si>
    <t>KIT 22MM LISO S ARGOLLA X 160CM</t>
  </si>
  <si>
    <t>PNT218C</t>
  </si>
  <si>
    <t>KIT BARRAL 22MMD180</t>
  </si>
  <si>
    <t>PNT220C</t>
  </si>
  <si>
    <t>KIT BARRAL 22MMD200</t>
  </si>
  <si>
    <t>09026C</t>
  </si>
  <si>
    <t>SOPORTE BOCHA CERRADA 22M</t>
  </si>
  <si>
    <t>09030C</t>
  </si>
  <si>
    <t>TERMINAL MADERA 22MM</t>
  </si>
  <si>
    <t>ESPUMA AISLANTE ALUMINIZADA DE 1 CARA DE 5MM 1X20MTS</t>
  </si>
  <si>
    <t>LANA DE VIDRIO SOLA X 50MM (1,2X18CM)</t>
  </si>
  <si>
    <t>LANA DE VIDRIO CON ALUMINIO X 50MM (1,2X18CM)</t>
  </si>
  <si>
    <t>1527-18-R</t>
  </si>
  <si>
    <t>BISAGRA ATORNILLAR 18CM PL DE 38</t>
  </si>
  <si>
    <t>FC1402R3</t>
  </si>
  <si>
    <t>MUN.100-75X2 AZUL</t>
  </si>
  <si>
    <t>FC33402R2</t>
  </si>
  <si>
    <t>MUN.75-75XAZUL</t>
  </si>
  <si>
    <t>FX9073R3</t>
  </si>
  <si>
    <t>CIERRE CENTRAL PZ NEGRO</t>
  </si>
  <si>
    <t>FX90632R3</t>
  </si>
  <si>
    <t>CIERRE CENTRAL PN NEGRO</t>
  </si>
  <si>
    <t>FO183</t>
  </si>
  <si>
    <t>BULON EXAGONAL GALVANIZADO 1/2X1.1/4</t>
  </si>
  <si>
    <t>FO184</t>
  </si>
  <si>
    <t>BULON EXAGONAL 1/2X1.1/2</t>
  </si>
  <si>
    <t>FO185</t>
  </si>
  <si>
    <t>BULON EXAGONAL 7/16X1/2</t>
  </si>
  <si>
    <t>FO186</t>
  </si>
  <si>
    <t>BULON EXAGONAL 7/16X2</t>
  </si>
  <si>
    <t>FOO39</t>
  </si>
  <si>
    <t>MD51</t>
  </si>
  <si>
    <t>ANGULO 100X100</t>
  </si>
  <si>
    <t>N-32-P-C-R</t>
  </si>
  <si>
    <t>RUEDA NAYLON 32MM PLANA N32P</t>
  </si>
  <si>
    <t>A-32-P-C-R</t>
  </si>
  <si>
    <t>RUEDA ACERO 32MM PLANA A32P</t>
  </si>
  <si>
    <t>MD234</t>
  </si>
  <si>
    <t>BISAGRA 1842 63MM ZINC AZUL</t>
  </si>
  <si>
    <t>SL-35-50</t>
  </si>
  <si>
    <t>SOPORTE EN L 50X50X35MM CHAPA N°13</t>
  </si>
  <si>
    <t>SL-70-110</t>
  </si>
  <si>
    <t>SOPORTE EN L 110X110X70MM CHAPA N°13</t>
  </si>
  <si>
    <t>REM1</t>
  </si>
  <si>
    <t>REMACHE 4X14 RERAR</t>
  </si>
  <si>
    <t>REM2</t>
  </si>
  <si>
    <t>REMACHE 5X16 RIBOT</t>
  </si>
  <si>
    <t>Y99001</t>
  </si>
  <si>
    <t>BISAGRA CODO 035MM</t>
  </si>
  <si>
    <t>Y99002</t>
  </si>
  <si>
    <t>BISAGRA CODO 35MM8</t>
  </si>
  <si>
    <t>Y99011</t>
  </si>
  <si>
    <t>BISAGRADA CODO 26MM</t>
  </si>
  <si>
    <t>Y71802</t>
  </si>
  <si>
    <t>RUEDA CON INSERTO 40MM</t>
  </si>
  <si>
    <t>ALAM2CAST</t>
  </si>
  <si>
    <t>ALAMBRE DE FARDO CASTELLANO</t>
  </si>
  <si>
    <t>FO187</t>
  </si>
  <si>
    <t>PITON CTOPE CERRADO 6 CAST</t>
  </si>
  <si>
    <t>FO188</t>
  </si>
  <si>
    <t>PITON C/TOPE ABIERTO 6 CAST</t>
  </si>
  <si>
    <t>FO189</t>
  </si>
  <si>
    <t>PITON C/TOPE CERRADO 8 CAST</t>
  </si>
  <si>
    <t>FO190</t>
  </si>
  <si>
    <t>PITON C/TOPE ABIERTO 8 CAST</t>
  </si>
  <si>
    <t>MEMBRANA AUTOADHESIVA 25X10MTS</t>
  </si>
  <si>
    <t>MEMBRA AUTOADHESIVA 25X0,25MTS (1MTS)</t>
  </si>
  <si>
    <t>MEMBRA AUTOADEHESIVA 10X0,25MTS (1MTS)</t>
  </si>
  <si>
    <t>TOR1</t>
  </si>
  <si>
    <t>TORNIQUETE N°5 MINI PINTADO</t>
  </si>
  <si>
    <t>Y98202</t>
  </si>
  <si>
    <t>PORTACANDADO 51MM</t>
  </si>
  <si>
    <t>Y98203</t>
  </si>
  <si>
    <t>PORTACANDADO 63MM</t>
  </si>
  <si>
    <t>Y98205</t>
  </si>
  <si>
    <t>PORTACANDADO 89 MM</t>
  </si>
  <si>
    <t>MD29</t>
  </si>
  <si>
    <t>SOPORTE REPISA  70X22</t>
  </si>
  <si>
    <t>MD30</t>
  </si>
  <si>
    <t>SOPORTE REPISA 40X22</t>
  </si>
  <si>
    <t>MD42</t>
  </si>
  <si>
    <t>ESCUADRA AÑACENA CON ALAS</t>
  </si>
  <si>
    <t>TOR2</t>
  </si>
  <si>
    <t>TORNIQUETE N°7 PINTADO</t>
  </si>
  <si>
    <t>TOR 3</t>
  </si>
  <si>
    <t>TORNIQUETE N° 8 PINTADO</t>
  </si>
  <si>
    <t>Y98206</t>
  </si>
  <si>
    <t>PORTACANDADO4</t>
  </si>
  <si>
    <t>P15250</t>
  </si>
  <si>
    <t xml:space="preserve">SOPORTE P/VARILLA CHATA A PRESION BRONCE </t>
  </si>
  <si>
    <t>P15640</t>
  </si>
  <si>
    <t>VARILLA CHATA BLANCO X 1MTS</t>
  </si>
  <si>
    <t>P20110</t>
  </si>
  <si>
    <t>BARRAL ESTENSIBLE ALUMINIO A 2,00MTS COLOR</t>
  </si>
  <si>
    <t>P20120</t>
  </si>
  <si>
    <t>BARRAL EXTENSIBLE DE LUJO A 2MTS COLOR</t>
  </si>
  <si>
    <t>P15010-LC</t>
  </si>
  <si>
    <t>SOPORTE FIJO DE HIERRO BRONCEADO DE 1/2X35C</t>
  </si>
  <si>
    <t>MECH08</t>
  </si>
  <si>
    <t>MECHA 1MM</t>
  </si>
  <si>
    <t>P3</t>
  </si>
  <si>
    <t>PITON N°5</t>
  </si>
  <si>
    <t>PLANCHUELA GALV. 25MM P/TEJIDO 1,8MTS</t>
  </si>
  <si>
    <t>GANCHOS JOTA 1/4X50 C/TUERCA Y ARANDELA C/U</t>
  </si>
  <si>
    <t>mensula bracket 200x250 8x10</t>
  </si>
  <si>
    <t>Y99140R0</t>
  </si>
  <si>
    <t>RUEDA DOBLE C/RUL PARA VENTANAL</t>
  </si>
  <si>
    <t>FA205</t>
  </si>
  <si>
    <t>FA206</t>
  </si>
  <si>
    <t>FA207</t>
  </si>
  <si>
    <t>FA209</t>
  </si>
  <si>
    <t>FA210</t>
  </si>
  <si>
    <t>FA211</t>
  </si>
  <si>
    <t>FA212</t>
  </si>
  <si>
    <t>TELA MOSQUITERO 1X30MTS (1MTS) FIBERGLAS</t>
  </si>
  <si>
    <t>FA213</t>
  </si>
  <si>
    <t>FA214</t>
  </si>
  <si>
    <t>PITON DORADO CERRADO O ABIERTO</t>
  </si>
  <si>
    <t>Y97323PAS</t>
  </si>
  <si>
    <t>PASADOREC/TRABARESORTE60MMNEGRO</t>
  </si>
  <si>
    <t>BISELADA AL GIRATORIA /ROS CHAPA</t>
  </si>
  <si>
    <t>1557-10</t>
  </si>
  <si>
    <t>MANIJA PUENTE PL.12X3MMX100MM</t>
  </si>
  <si>
    <t>1557-15</t>
  </si>
  <si>
    <t>MANIJA PUENTE PL.18X3MMX150MM</t>
  </si>
  <si>
    <t>MECHA09</t>
  </si>
  <si>
    <t>MECHA SUELTA ACERO EZETA 10</t>
  </si>
  <si>
    <t>FO209</t>
  </si>
  <si>
    <t>TIRAFONDO 3/16X2,1/2</t>
  </si>
  <si>
    <t>FO210</t>
  </si>
  <si>
    <t>TIRAFONDO 3/16X3</t>
  </si>
  <si>
    <t>F0211</t>
  </si>
  <si>
    <t>MECHA ACERO RAPIDO 7 SUELTA</t>
  </si>
  <si>
    <t>F0212</t>
  </si>
  <si>
    <t>MALLA REVOQUE 1X50MTS (1MTS)</t>
  </si>
  <si>
    <t xml:space="preserve"> MOSQUITERO 1X30 GALVANIZADO 1MTS</t>
  </si>
  <si>
    <t>SC-4</t>
  </si>
  <si>
    <t>SOPORTE CERRADO 90G 66X90X48MM</t>
  </si>
  <si>
    <t>AF1L</t>
  </si>
  <si>
    <t>PINTURA ASFALTICA 1LTS</t>
  </si>
  <si>
    <t>AF4L</t>
  </si>
  <si>
    <t>PINTURA ASFALTICA 4LTS</t>
  </si>
  <si>
    <t>AP-45</t>
  </si>
  <si>
    <t>ANGULO REFORZADO 45X33X33MM CHAPA</t>
  </si>
  <si>
    <t>FO300</t>
  </si>
  <si>
    <t>FO301</t>
  </si>
  <si>
    <t>FO302</t>
  </si>
  <si>
    <t>FO303</t>
  </si>
  <si>
    <t>FO304</t>
  </si>
  <si>
    <t>TORNILLO TANQUE 1/4X1</t>
  </si>
  <si>
    <t>TORNILLO TANQUE 1/4X1,1/2</t>
  </si>
  <si>
    <t>TORNILLO TANQUE 1/4X2</t>
  </si>
  <si>
    <t>TORNILLO MADERA 6X3</t>
  </si>
  <si>
    <t>FO305</t>
  </si>
  <si>
    <t>FO306</t>
  </si>
  <si>
    <t>FO307</t>
  </si>
  <si>
    <t>FO308</t>
  </si>
  <si>
    <t>TORNILLO TANQUE 5/32X1,1/2</t>
  </si>
  <si>
    <t>TORNILLO TANQUE 5/32X2</t>
  </si>
  <si>
    <t>TORNILLO TANQUE 5/32X2,1/2</t>
  </si>
  <si>
    <t>TORNILLO  TANQUE 5/32X1</t>
  </si>
  <si>
    <t>BULON 1/4X3</t>
  </si>
  <si>
    <t>FO309</t>
  </si>
  <si>
    <t>TUERCA AUTODESLIZANTE 1/4</t>
  </si>
  <si>
    <t>FO310</t>
  </si>
  <si>
    <t>PITON CON TOPE ESCUADRA N°8</t>
  </si>
  <si>
    <t>BISELADAS AL GIRATORIA 7ROS CHAPA</t>
  </si>
  <si>
    <t>XSM232R3</t>
  </si>
  <si>
    <t>PICAPORTE M2 NEGRO</t>
  </si>
  <si>
    <t>XSM233R3</t>
  </si>
  <si>
    <t>PICAPORTE M2 BLANCO</t>
  </si>
  <si>
    <t>ganancia</t>
  </si>
  <si>
    <t>ALAMBRE FARDO 1kilo</t>
  </si>
  <si>
    <t>tejpollito</t>
  </si>
  <si>
    <t>TEJIDO EXAGONAL 1X30MTS POLLITO</t>
  </si>
  <si>
    <t>FO312</t>
  </si>
  <si>
    <t xml:space="preserve">TEJIDO ROMBOIDAL PLASTICO NEGROX1,20CM </t>
  </si>
  <si>
    <t>SOGPLA1</t>
  </si>
  <si>
    <t>SOGA REVESTIDA PLASTICO N°4</t>
  </si>
  <si>
    <t>SOGPLA2</t>
  </si>
  <si>
    <t>SOGA REVESTIDA PLASTICO N°5</t>
  </si>
  <si>
    <t>RUBEROI PESADO 1X10MTS</t>
  </si>
  <si>
    <t>RUBEROI PESADO 1X40MTS</t>
  </si>
  <si>
    <t>ruberoi liviano  1x10 mts</t>
  </si>
  <si>
    <t>FO311</t>
  </si>
  <si>
    <t>CLAVO GRAMPA U 25MM</t>
  </si>
  <si>
    <t>CLAVO GRAMPA U 38MM</t>
  </si>
  <si>
    <t xml:space="preserve">clavo cabeza perdida 9/20 1kg este no </t>
  </si>
  <si>
    <t>FO315</t>
  </si>
  <si>
    <t>FO316</t>
  </si>
  <si>
    <t>ALAMBRE GALVIZADO N20 0,91MMX1KG</t>
  </si>
  <si>
    <t>FO317</t>
  </si>
  <si>
    <t>MEMBRAN AUTHOADESIVA 15CMX1MTS</t>
  </si>
  <si>
    <t>R83-2</t>
  </si>
  <si>
    <t>FO318</t>
  </si>
  <si>
    <t>FO319</t>
  </si>
  <si>
    <t>FO320</t>
  </si>
  <si>
    <t>CLAVO PUNTA PARIS 2 CAS</t>
  </si>
  <si>
    <t>CLAVO PUNTA PARIS 2,1/2 CAS</t>
  </si>
  <si>
    <t>ALAMBRE TEJIDO CALIBRE 16 ROMBO 2,1/2 1/8X10</t>
  </si>
  <si>
    <t>CLAVO normal  PUNTA PARIS 1,1/2 X1KG CAS</t>
  </si>
  <si>
    <t>CLAVO 1 R</t>
  </si>
  <si>
    <t>CLAVO 2 R</t>
  </si>
  <si>
    <t>CLAVO 11/2 R</t>
  </si>
  <si>
    <t>FO321</t>
  </si>
  <si>
    <t>CLAVO 3 R</t>
  </si>
  <si>
    <t>FO322</t>
  </si>
  <si>
    <t>FO323</t>
  </si>
  <si>
    <t>MECHA MADERA BREMEN 4MM</t>
  </si>
  <si>
    <t>MECHA MADERA BREMEN 8MM</t>
  </si>
  <si>
    <t>FO324</t>
  </si>
  <si>
    <t>FO325</t>
  </si>
  <si>
    <t>Regla aluminio p /construccioc 2m mor</t>
  </si>
  <si>
    <t>Poliburbuja 1x 1mts</t>
  </si>
  <si>
    <t>FO326</t>
  </si>
  <si>
    <t xml:space="preserve">SOPORT TV FIJO 32X70 </t>
  </si>
  <si>
    <t>FO327</t>
  </si>
  <si>
    <t>TORNILLO NEGRO DURLOCK 6X1</t>
  </si>
  <si>
    <t>FO328</t>
  </si>
  <si>
    <t>GANCHO ALUMINIO BLANCO</t>
  </si>
  <si>
    <t>FO329</t>
  </si>
  <si>
    <t>GAMCHO 2 NPERCHA NEGRO</t>
  </si>
  <si>
    <t>MQ440</t>
  </si>
  <si>
    <t>MOSQUETON GALVANIZADO 4X40</t>
  </si>
  <si>
    <t>MQ550</t>
  </si>
  <si>
    <t>MOSQUETON GALVANIZADO 5X50</t>
  </si>
  <si>
    <t>MQ660</t>
  </si>
  <si>
    <t>MOSQUETON GALVANIZADO 6X60</t>
  </si>
  <si>
    <t>CH06</t>
  </si>
  <si>
    <t>CANCAMO HEMBRA 6MM</t>
  </si>
  <si>
    <t>CH08</t>
  </si>
  <si>
    <t>CANCAMO HEMBRA 8MM</t>
  </si>
  <si>
    <t>CH10</t>
  </si>
  <si>
    <t>CANCAMO HEMBRA 10MM</t>
  </si>
  <si>
    <t>CM06</t>
  </si>
  <si>
    <t>CANCAMO MACHO 6MM</t>
  </si>
  <si>
    <t>CM08</t>
  </si>
  <si>
    <t>CANCAMO MACHO 8MM</t>
  </si>
  <si>
    <t>CM10</t>
  </si>
  <si>
    <t>CANCAMO MACHO 10MM</t>
  </si>
  <si>
    <t xml:space="preserve">QJ7221A </t>
  </si>
  <si>
    <t>GANCHO MAGNETICO CON MOSQUETON</t>
  </si>
  <si>
    <t>G-200</t>
  </si>
  <si>
    <t>PINZA UNIVERSAL 200MM</t>
  </si>
  <si>
    <t>HGPS-1.0</t>
  </si>
  <si>
    <t>HACHA DE USO GENERAL</t>
  </si>
  <si>
    <t>2678G-160</t>
  </si>
  <si>
    <t>PINZA UNIVERSAL 2678 G-160</t>
  </si>
  <si>
    <t>601-180-1</t>
  </si>
  <si>
    <t>PINZA UNIVERSAL 180MM</t>
  </si>
  <si>
    <t>FXT125G6</t>
  </si>
  <si>
    <t>DISCO CON VELCRO 8AGUJEROS 125 G60</t>
  </si>
  <si>
    <t>FXT740M</t>
  </si>
  <si>
    <t>DISCO CORTE PARA MADERA 115X1,2X22,23</t>
  </si>
  <si>
    <t>FXT745V</t>
  </si>
  <si>
    <t>DISCO CORTE PARA VIDRIO 115X1,2X22,23</t>
  </si>
  <si>
    <t>C2440300</t>
  </si>
  <si>
    <t>DISCO STANDARD CONTINUO 110X1,8</t>
  </si>
  <si>
    <t>B34051373</t>
  </si>
  <si>
    <t>TYROLITBASIC 115X1,0X 22,23B</t>
  </si>
  <si>
    <t>BL0625</t>
  </si>
  <si>
    <t>ELECTRODO WEL ARCO 6013 2,50MMXKG</t>
  </si>
  <si>
    <t>FXT11510</t>
  </si>
  <si>
    <t>DISCO DE CORTE FOXTER 115X1,0X22,23</t>
  </si>
  <si>
    <t>Z10T0600</t>
  </si>
  <si>
    <t>BROCA P/PORCEL TAL 6,00</t>
  </si>
  <si>
    <t>Z10T0800</t>
  </si>
  <si>
    <t>BROCA P/PORCEL.TAL 8,00</t>
  </si>
  <si>
    <t>Z140600</t>
  </si>
  <si>
    <t>BROCA MAX MAD HSS 6,00</t>
  </si>
  <si>
    <t>Z140800</t>
  </si>
  <si>
    <t>BROCA MAX MAD HSS 8,00</t>
  </si>
  <si>
    <t>Z150600</t>
  </si>
  <si>
    <t>MAX PLANA 6,00-1/4</t>
  </si>
  <si>
    <t>Z150800</t>
  </si>
  <si>
    <t>MAX PLANA 8,00-5/16</t>
  </si>
  <si>
    <t>Z162500</t>
  </si>
  <si>
    <t>BROCA COPA ESETA 25X72MM</t>
  </si>
  <si>
    <t>Z1802</t>
  </si>
  <si>
    <t>ADAP.COPA SDS PLUS X300MM</t>
  </si>
  <si>
    <t>BP0620</t>
  </si>
  <si>
    <t>ELECTRODO OK 2,0</t>
  </si>
  <si>
    <t>BP0632</t>
  </si>
  <si>
    <t>ELECTRODO OK 3,25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</si>
</sst>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1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76"/>
  <sheetViews>
    <sheetView tabSelected="1" workbookViewId="0">
      <selection activeCell="B2" sqref="B2"/>
    </sheetView>
  </sheetViews>
  <sheetFormatPr baseColWidth="10" defaultColWidth="9.140625" defaultRowHeight="15" x14ac:dyDescent="0.25"/>
  <cols>
    <col min="1" max="1" width="15.42578125" customWidth="1"/>
    <col min="2" max="2" width="45" customWidth="1"/>
    <col min="3" max="9" width="12.5703125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645</v>
      </c>
      <c r="F1" t="s">
        <v>4</v>
      </c>
      <c r="G1" t="s">
        <v>5</v>
      </c>
      <c r="H1" t="s">
        <v>6</v>
      </c>
      <c r="I1" s="1" t="s">
        <v>7</v>
      </c>
    </row>
    <row r="2" spans="1:9" x14ac:dyDescent="0.25">
      <c r="C2" t="s">
        <v>9</v>
      </c>
      <c r="D2">
        <v>0.04</v>
      </c>
      <c r="E2">
        <v>0.4</v>
      </c>
      <c r="F2">
        <v>0.105</v>
      </c>
      <c r="G2" t="s">
        <v>8</v>
      </c>
      <c r="H2" t="s">
        <v>8</v>
      </c>
      <c r="I2" s="1">
        <v>0.7</v>
      </c>
    </row>
    <row r="3" spans="1:9" x14ac:dyDescent="0.25">
      <c r="D3">
        <f>C3+(C3*$D$2)</f>
        <v>0</v>
      </c>
      <c r="E3">
        <f>D3+(D3*$E$2)</f>
        <v>0</v>
      </c>
      <c r="F3">
        <f>C3*$F$2</f>
        <v>0</v>
      </c>
      <c r="G3">
        <f>E3+F3</f>
        <v>0</v>
      </c>
      <c r="I3" s="1">
        <f>G3+(G3*$I$2)</f>
        <v>0</v>
      </c>
    </row>
    <row r="4" spans="1:9" x14ac:dyDescent="0.25">
      <c r="A4" t="s">
        <v>10</v>
      </c>
      <c r="B4" t="s">
        <v>11</v>
      </c>
      <c r="C4">
        <v>11.55</v>
      </c>
      <c r="D4">
        <f t="shared" ref="D4:D67" si="0">C4+(C4*$D$2)</f>
        <v>12.012</v>
      </c>
      <c r="E4">
        <f t="shared" ref="E4:E67" si="1">D4+(D4*$E$2)</f>
        <v>16.816800000000001</v>
      </c>
      <c r="F4">
        <f t="shared" ref="F4:F67" si="2">C4*$F$2</f>
        <v>1.21275</v>
      </c>
      <c r="G4">
        <f t="shared" ref="G4:G67" si="3">E4+F4</f>
        <v>18.02955</v>
      </c>
      <c r="H4">
        <v>1000</v>
      </c>
      <c r="I4" s="1"/>
    </row>
    <row r="5" spans="1:9" x14ac:dyDescent="0.25">
      <c r="A5" t="s">
        <v>12</v>
      </c>
      <c r="B5" t="s">
        <v>13</v>
      </c>
      <c r="C5">
        <v>46.2</v>
      </c>
      <c r="D5">
        <f t="shared" si="0"/>
        <v>48.048000000000002</v>
      </c>
      <c r="E5">
        <f t="shared" si="1"/>
        <v>67.267200000000003</v>
      </c>
      <c r="F5">
        <f t="shared" si="2"/>
        <v>4.851</v>
      </c>
      <c r="G5">
        <f t="shared" si="3"/>
        <v>72.118200000000002</v>
      </c>
      <c r="H5">
        <v>1000</v>
      </c>
      <c r="I5" s="1"/>
    </row>
    <row r="6" spans="1:9" x14ac:dyDescent="0.25">
      <c r="A6" t="s">
        <v>14</v>
      </c>
      <c r="B6" t="s">
        <v>15</v>
      </c>
      <c r="C6">
        <v>63.52</v>
      </c>
      <c r="D6">
        <f t="shared" si="0"/>
        <v>66.0608</v>
      </c>
      <c r="E6">
        <f t="shared" si="1"/>
        <v>92.485119999999995</v>
      </c>
      <c r="F6">
        <f t="shared" si="2"/>
        <v>6.6696</v>
      </c>
      <c r="G6">
        <f t="shared" si="3"/>
        <v>99.154719999999998</v>
      </c>
      <c r="H6">
        <v>500</v>
      </c>
      <c r="I6" s="1"/>
    </row>
    <row r="7" spans="1:9" x14ac:dyDescent="0.25">
      <c r="A7" t="s">
        <v>16</v>
      </c>
      <c r="B7" t="s">
        <v>17</v>
      </c>
      <c r="C7">
        <v>69.3</v>
      </c>
      <c r="D7">
        <f t="shared" si="0"/>
        <v>72.072000000000003</v>
      </c>
      <c r="E7">
        <f t="shared" si="1"/>
        <v>100.9008</v>
      </c>
      <c r="F7">
        <f t="shared" si="2"/>
        <v>7.2764999999999995</v>
      </c>
      <c r="G7">
        <f t="shared" si="3"/>
        <v>108.1773</v>
      </c>
      <c r="H7">
        <v>200</v>
      </c>
      <c r="I7" s="1"/>
    </row>
    <row r="8" spans="1:9" x14ac:dyDescent="0.25">
      <c r="A8" t="s">
        <v>18</v>
      </c>
      <c r="B8" t="s">
        <v>19</v>
      </c>
      <c r="C8">
        <v>8.08</v>
      </c>
      <c r="D8">
        <f t="shared" si="0"/>
        <v>8.4032</v>
      </c>
      <c r="E8">
        <f t="shared" si="1"/>
        <v>11.764480000000001</v>
      </c>
      <c r="F8">
        <f t="shared" si="2"/>
        <v>0.84839999999999993</v>
      </c>
      <c r="G8">
        <f t="shared" si="3"/>
        <v>12.612880000000001</v>
      </c>
      <c r="H8">
        <v>250</v>
      </c>
      <c r="I8" s="1"/>
    </row>
    <row r="9" spans="1:9" x14ac:dyDescent="0.25">
      <c r="A9" t="s">
        <v>20</v>
      </c>
      <c r="B9" t="s">
        <v>21</v>
      </c>
      <c r="C9">
        <v>7.08</v>
      </c>
      <c r="D9">
        <f t="shared" si="0"/>
        <v>7.3632</v>
      </c>
      <c r="E9">
        <f t="shared" si="1"/>
        <v>10.308479999999999</v>
      </c>
      <c r="F9">
        <f t="shared" si="2"/>
        <v>0.74339999999999995</v>
      </c>
      <c r="G9">
        <f t="shared" si="3"/>
        <v>11.051879999999999</v>
      </c>
      <c r="H9">
        <v>1000</v>
      </c>
      <c r="I9" s="1"/>
    </row>
    <row r="10" spans="1:9" x14ac:dyDescent="0.25">
      <c r="A10" t="s">
        <v>22</v>
      </c>
      <c r="B10" t="s">
        <v>23</v>
      </c>
      <c r="C10">
        <v>10.39</v>
      </c>
      <c r="D10">
        <f t="shared" si="0"/>
        <v>10.8056</v>
      </c>
      <c r="E10">
        <f t="shared" si="1"/>
        <v>15.127839999999999</v>
      </c>
      <c r="F10">
        <f t="shared" si="2"/>
        <v>1.0909500000000001</v>
      </c>
      <c r="G10">
        <f t="shared" si="3"/>
        <v>16.218789999999998</v>
      </c>
      <c r="H10">
        <v>1000</v>
      </c>
      <c r="I10" s="1"/>
    </row>
    <row r="11" spans="1:9" x14ac:dyDescent="0.25">
      <c r="A11" t="s">
        <v>24</v>
      </c>
      <c r="B11" t="s">
        <v>25</v>
      </c>
      <c r="C11">
        <v>9.24</v>
      </c>
      <c r="D11">
        <f t="shared" si="0"/>
        <v>9.6096000000000004</v>
      </c>
      <c r="E11">
        <f t="shared" si="1"/>
        <v>13.453440000000001</v>
      </c>
      <c r="F11">
        <f t="shared" si="2"/>
        <v>0.97019999999999995</v>
      </c>
      <c r="G11">
        <f t="shared" si="3"/>
        <v>14.423640000000001</v>
      </c>
      <c r="H11">
        <v>1000</v>
      </c>
      <c r="I11" s="1"/>
    </row>
    <row r="12" spans="1:9" x14ac:dyDescent="0.25">
      <c r="A12" t="s">
        <v>26</v>
      </c>
      <c r="B12" t="s">
        <v>27</v>
      </c>
      <c r="C12">
        <v>9.24</v>
      </c>
      <c r="D12">
        <f t="shared" si="0"/>
        <v>9.6096000000000004</v>
      </c>
      <c r="E12">
        <f t="shared" si="1"/>
        <v>13.453440000000001</v>
      </c>
      <c r="F12">
        <f t="shared" si="2"/>
        <v>0.97019999999999995</v>
      </c>
      <c r="G12">
        <f t="shared" si="3"/>
        <v>14.423640000000001</v>
      </c>
      <c r="H12">
        <v>1000</v>
      </c>
      <c r="I12" s="1"/>
    </row>
    <row r="13" spans="1:9" x14ac:dyDescent="0.25">
      <c r="A13" t="s">
        <v>28</v>
      </c>
      <c r="B13" t="s">
        <v>29</v>
      </c>
      <c r="C13">
        <v>11.55</v>
      </c>
      <c r="D13">
        <f t="shared" si="0"/>
        <v>12.012</v>
      </c>
      <c r="E13">
        <f t="shared" si="1"/>
        <v>16.816800000000001</v>
      </c>
      <c r="F13">
        <f t="shared" si="2"/>
        <v>1.21275</v>
      </c>
      <c r="G13">
        <f t="shared" si="3"/>
        <v>18.02955</v>
      </c>
      <c r="H13">
        <v>1000</v>
      </c>
      <c r="I13" s="1"/>
    </row>
    <row r="14" spans="1:9" x14ac:dyDescent="0.25">
      <c r="A14" t="s">
        <v>30</v>
      </c>
      <c r="B14" t="s">
        <v>31</v>
      </c>
      <c r="C14">
        <v>12.7</v>
      </c>
      <c r="D14">
        <f t="shared" si="0"/>
        <v>13.207999999999998</v>
      </c>
      <c r="E14">
        <f t="shared" si="1"/>
        <v>18.491199999999999</v>
      </c>
      <c r="F14">
        <f t="shared" si="2"/>
        <v>1.3334999999999999</v>
      </c>
      <c r="G14">
        <f t="shared" si="3"/>
        <v>19.8247</v>
      </c>
      <c r="H14">
        <v>1000</v>
      </c>
      <c r="I14" s="1"/>
    </row>
    <row r="15" spans="1:9" x14ac:dyDescent="0.25">
      <c r="A15" t="s">
        <v>32</v>
      </c>
      <c r="B15" t="s">
        <v>33</v>
      </c>
      <c r="C15">
        <v>12.7</v>
      </c>
      <c r="D15">
        <f t="shared" si="0"/>
        <v>13.207999999999998</v>
      </c>
      <c r="E15">
        <f t="shared" si="1"/>
        <v>18.491199999999999</v>
      </c>
      <c r="F15">
        <f t="shared" si="2"/>
        <v>1.3334999999999999</v>
      </c>
      <c r="G15">
        <f t="shared" si="3"/>
        <v>19.8247</v>
      </c>
      <c r="H15">
        <v>1000</v>
      </c>
      <c r="I15" s="1"/>
    </row>
    <row r="16" spans="1:9" x14ac:dyDescent="0.25">
      <c r="A16" t="s">
        <v>34</v>
      </c>
      <c r="B16" t="s">
        <v>35</v>
      </c>
      <c r="C16">
        <v>12.7</v>
      </c>
      <c r="D16">
        <f t="shared" si="0"/>
        <v>13.207999999999998</v>
      </c>
      <c r="E16">
        <f t="shared" si="1"/>
        <v>18.491199999999999</v>
      </c>
      <c r="F16">
        <f t="shared" si="2"/>
        <v>1.3334999999999999</v>
      </c>
      <c r="G16">
        <f t="shared" si="3"/>
        <v>19.8247</v>
      </c>
      <c r="H16">
        <v>1000</v>
      </c>
      <c r="I16" s="1"/>
    </row>
    <row r="17" spans="1:9" x14ac:dyDescent="0.25">
      <c r="A17" t="s">
        <v>36</v>
      </c>
      <c r="B17" t="s">
        <v>37</v>
      </c>
      <c r="C17">
        <v>16.170000000000002</v>
      </c>
      <c r="D17">
        <f t="shared" si="0"/>
        <v>16.816800000000001</v>
      </c>
      <c r="E17">
        <f t="shared" si="1"/>
        <v>23.543520000000001</v>
      </c>
      <c r="F17">
        <f t="shared" si="2"/>
        <v>1.6978500000000001</v>
      </c>
      <c r="G17">
        <f t="shared" si="3"/>
        <v>25.24137</v>
      </c>
      <c r="H17">
        <v>1000</v>
      </c>
      <c r="I17" s="1"/>
    </row>
    <row r="18" spans="1:9" x14ac:dyDescent="0.25">
      <c r="A18" t="s">
        <v>38</v>
      </c>
      <c r="B18" t="s">
        <v>39</v>
      </c>
      <c r="C18">
        <v>20.79</v>
      </c>
      <c r="D18">
        <f t="shared" si="0"/>
        <v>21.621600000000001</v>
      </c>
      <c r="E18">
        <f t="shared" si="1"/>
        <v>30.270240000000001</v>
      </c>
      <c r="F18">
        <f t="shared" si="2"/>
        <v>2.1829499999999999</v>
      </c>
      <c r="G18">
        <f t="shared" si="3"/>
        <v>32.453189999999999</v>
      </c>
      <c r="H18">
        <v>500</v>
      </c>
      <c r="I18" s="1"/>
    </row>
    <row r="19" spans="1:9" x14ac:dyDescent="0.25">
      <c r="A19" t="s">
        <v>40</v>
      </c>
      <c r="B19" t="s">
        <v>41</v>
      </c>
      <c r="C19">
        <v>25.41</v>
      </c>
      <c r="D19">
        <f t="shared" si="0"/>
        <v>26.426400000000001</v>
      </c>
      <c r="E19">
        <f t="shared" si="1"/>
        <v>36.996960000000001</v>
      </c>
      <c r="F19">
        <f t="shared" si="2"/>
        <v>2.66805</v>
      </c>
      <c r="G19">
        <f t="shared" si="3"/>
        <v>39.665010000000002</v>
      </c>
      <c r="H19">
        <v>1000</v>
      </c>
      <c r="I19" s="1"/>
    </row>
    <row r="20" spans="1:9" x14ac:dyDescent="0.25">
      <c r="A20" t="s">
        <v>42</v>
      </c>
      <c r="B20" t="s">
        <v>43</v>
      </c>
      <c r="C20">
        <v>23.1</v>
      </c>
      <c r="D20">
        <f t="shared" si="0"/>
        <v>24.024000000000001</v>
      </c>
      <c r="E20">
        <f t="shared" si="1"/>
        <v>33.633600000000001</v>
      </c>
      <c r="F20">
        <f t="shared" si="2"/>
        <v>2.4255</v>
      </c>
      <c r="G20">
        <f t="shared" si="3"/>
        <v>36.059100000000001</v>
      </c>
      <c r="H20">
        <v>1000</v>
      </c>
      <c r="I20" s="1"/>
    </row>
    <row r="21" spans="1:9" x14ac:dyDescent="0.25">
      <c r="A21" t="s">
        <v>44</v>
      </c>
      <c r="B21" t="s">
        <v>45</v>
      </c>
      <c r="C21">
        <v>25.41</v>
      </c>
      <c r="D21">
        <f t="shared" si="0"/>
        <v>26.426400000000001</v>
      </c>
      <c r="E21">
        <f t="shared" si="1"/>
        <v>36.996960000000001</v>
      </c>
      <c r="F21">
        <f t="shared" si="2"/>
        <v>2.66805</v>
      </c>
      <c r="G21">
        <f t="shared" si="3"/>
        <v>39.665010000000002</v>
      </c>
      <c r="H21">
        <v>1000</v>
      </c>
      <c r="I21" s="1"/>
    </row>
    <row r="22" spans="1:9" x14ac:dyDescent="0.25">
      <c r="A22" t="s">
        <v>46</v>
      </c>
      <c r="B22" t="s">
        <v>47</v>
      </c>
      <c r="C22">
        <v>27.72</v>
      </c>
      <c r="D22">
        <f t="shared" si="0"/>
        <v>28.828799999999998</v>
      </c>
      <c r="E22">
        <f t="shared" si="1"/>
        <v>40.360320000000002</v>
      </c>
      <c r="F22">
        <f t="shared" si="2"/>
        <v>2.9105999999999996</v>
      </c>
      <c r="G22">
        <f t="shared" si="3"/>
        <v>43.270920000000004</v>
      </c>
      <c r="H22">
        <v>1000</v>
      </c>
      <c r="I22" s="1"/>
    </row>
    <row r="23" spans="1:9" x14ac:dyDescent="0.25">
      <c r="A23" t="s">
        <v>48</v>
      </c>
      <c r="B23" t="s">
        <v>49</v>
      </c>
      <c r="C23">
        <v>30.03</v>
      </c>
      <c r="D23">
        <f t="shared" si="0"/>
        <v>31.231200000000001</v>
      </c>
      <c r="E23">
        <f t="shared" si="1"/>
        <v>43.723680000000002</v>
      </c>
      <c r="F23">
        <f t="shared" si="2"/>
        <v>3.1531500000000001</v>
      </c>
      <c r="G23">
        <f t="shared" si="3"/>
        <v>46.876829999999998</v>
      </c>
      <c r="H23">
        <v>1000</v>
      </c>
      <c r="I23" s="1"/>
    </row>
    <row r="24" spans="1:9" x14ac:dyDescent="0.25">
      <c r="A24" t="s">
        <v>50</v>
      </c>
      <c r="B24" t="s">
        <v>51</v>
      </c>
      <c r="C24">
        <v>32.340000000000003</v>
      </c>
      <c r="D24">
        <f t="shared" si="0"/>
        <v>33.633600000000001</v>
      </c>
      <c r="E24">
        <f t="shared" si="1"/>
        <v>47.087040000000002</v>
      </c>
      <c r="F24">
        <f t="shared" si="2"/>
        <v>3.3957000000000002</v>
      </c>
      <c r="G24">
        <f t="shared" si="3"/>
        <v>50.48274</v>
      </c>
      <c r="H24">
        <v>500</v>
      </c>
      <c r="I24" s="1"/>
    </row>
    <row r="25" spans="1:9" x14ac:dyDescent="0.25">
      <c r="A25" t="s">
        <v>52</v>
      </c>
      <c r="B25" t="s">
        <v>53</v>
      </c>
      <c r="C25">
        <v>41.58</v>
      </c>
      <c r="D25">
        <f t="shared" si="0"/>
        <v>43.243200000000002</v>
      </c>
      <c r="E25">
        <f t="shared" si="1"/>
        <v>60.540480000000002</v>
      </c>
      <c r="F25">
        <f t="shared" si="2"/>
        <v>4.3658999999999999</v>
      </c>
      <c r="G25">
        <f t="shared" si="3"/>
        <v>64.906379999999999</v>
      </c>
      <c r="H25">
        <v>500</v>
      </c>
      <c r="I25" s="1"/>
    </row>
    <row r="26" spans="1:9" x14ac:dyDescent="0.25">
      <c r="A26" t="s">
        <v>54</v>
      </c>
      <c r="B26" t="s">
        <v>55</v>
      </c>
      <c r="C26">
        <v>34.65</v>
      </c>
      <c r="D26">
        <f t="shared" si="0"/>
        <v>36.036000000000001</v>
      </c>
      <c r="E26">
        <f t="shared" si="1"/>
        <v>50.450400000000002</v>
      </c>
      <c r="F26">
        <f t="shared" si="2"/>
        <v>3.6382499999999998</v>
      </c>
      <c r="G26">
        <f t="shared" si="3"/>
        <v>54.088650000000001</v>
      </c>
      <c r="H26">
        <v>200</v>
      </c>
      <c r="I26" s="1"/>
    </row>
    <row r="27" spans="1:9" x14ac:dyDescent="0.25">
      <c r="A27" t="s">
        <v>56</v>
      </c>
      <c r="B27" t="s">
        <v>57</v>
      </c>
      <c r="C27">
        <v>34.65</v>
      </c>
      <c r="D27">
        <f t="shared" si="0"/>
        <v>36.036000000000001</v>
      </c>
      <c r="E27">
        <f t="shared" si="1"/>
        <v>50.450400000000002</v>
      </c>
      <c r="F27">
        <f t="shared" si="2"/>
        <v>3.6382499999999998</v>
      </c>
      <c r="G27">
        <f t="shared" si="3"/>
        <v>54.088650000000001</v>
      </c>
      <c r="H27">
        <v>500</v>
      </c>
      <c r="I27" s="1"/>
    </row>
    <row r="28" spans="1:9" x14ac:dyDescent="0.25">
      <c r="A28" t="s">
        <v>58</v>
      </c>
      <c r="B28" t="s">
        <v>59</v>
      </c>
      <c r="C28">
        <v>40.42</v>
      </c>
      <c r="D28">
        <f t="shared" si="0"/>
        <v>42.036799999999999</v>
      </c>
      <c r="E28">
        <f t="shared" si="1"/>
        <v>58.851520000000001</v>
      </c>
      <c r="F28">
        <f t="shared" si="2"/>
        <v>4.2441000000000004</v>
      </c>
      <c r="G28">
        <f t="shared" si="3"/>
        <v>63.095620000000004</v>
      </c>
      <c r="H28">
        <v>500</v>
      </c>
      <c r="I28" s="1"/>
    </row>
    <row r="29" spans="1:9" x14ac:dyDescent="0.25">
      <c r="A29" t="s">
        <v>60</v>
      </c>
      <c r="B29" t="s">
        <v>61</v>
      </c>
      <c r="C29">
        <v>837.39</v>
      </c>
      <c r="D29">
        <f t="shared" si="0"/>
        <v>870.88559999999995</v>
      </c>
      <c r="E29">
        <f t="shared" si="1"/>
        <v>1219.23984</v>
      </c>
      <c r="F29">
        <f t="shared" si="2"/>
        <v>87.92595</v>
      </c>
      <c r="G29">
        <f t="shared" si="3"/>
        <v>1307.16579</v>
      </c>
      <c r="H29">
        <v>500</v>
      </c>
      <c r="I29" s="1"/>
    </row>
    <row r="30" spans="1:9" x14ac:dyDescent="0.25">
      <c r="A30" t="s">
        <v>62</v>
      </c>
      <c r="B30" t="s">
        <v>63</v>
      </c>
      <c r="C30">
        <v>1018.01</v>
      </c>
      <c r="D30">
        <f t="shared" si="0"/>
        <v>1058.7303999999999</v>
      </c>
      <c r="E30">
        <f t="shared" si="1"/>
        <v>1482.2225599999999</v>
      </c>
      <c r="F30">
        <f t="shared" si="2"/>
        <v>106.89104999999999</v>
      </c>
      <c r="G30">
        <f t="shared" si="3"/>
        <v>1589.1136099999999</v>
      </c>
      <c r="H30">
        <v>6</v>
      </c>
      <c r="I30" s="1"/>
    </row>
    <row r="31" spans="1:9" x14ac:dyDescent="0.25">
      <c r="A31" t="s">
        <v>64</v>
      </c>
      <c r="B31" t="s">
        <v>65</v>
      </c>
      <c r="C31">
        <v>1625.54</v>
      </c>
      <c r="D31">
        <f t="shared" si="0"/>
        <v>1690.5616</v>
      </c>
      <c r="E31">
        <f t="shared" si="1"/>
        <v>2366.7862399999999</v>
      </c>
      <c r="F31">
        <f t="shared" si="2"/>
        <v>170.68169999999998</v>
      </c>
      <c r="G31">
        <f t="shared" si="3"/>
        <v>2537.46794</v>
      </c>
      <c r="H31">
        <v>6</v>
      </c>
      <c r="I31" s="1"/>
    </row>
    <row r="32" spans="1:9" x14ac:dyDescent="0.25">
      <c r="A32" t="s">
        <v>66</v>
      </c>
      <c r="B32" t="s">
        <v>67</v>
      </c>
      <c r="C32">
        <v>2265.91</v>
      </c>
      <c r="D32">
        <f t="shared" si="0"/>
        <v>2356.5463999999997</v>
      </c>
      <c r="E32">
        <f t="shared" si="1"/>
        <v>3299.1649599999996</v>
      </c>
      <c r="F32">
        <f t="shared" si="2"/>
        <v>237.92054999999996</v>
      </c>
      <c r="G32">
        <f t="shared" si="3"/>
        <v>3537.0855099999994</v>
      </c>
      <c r="H32">
        <v>6</v>
      </c>
      <c r="I32" s="1"/>
    </row>
    <row r="33" spans="1:9" x14ac:dyDescent="0.25">
      <c r="A33" t="s">
        <v>68</v>
      </c>
      <c r="B33" t="s">
        <v>69</v>
      </c>
      <c r="C33">
        <v>3239.59</v>
      </c>
      <c r="D33">
        <f t="shared" si="0"/>
        <v>3369.1736000000001</v>
      </c>
      <c r="E33">
        <f t="shared" si="1"/>
        <v>4716.8430399999997</v>
      </c>
      <c r="F33">
        <f t="shared" si="2"/>
        <v>340.15694999999999</v>
      </c>
      <c r="G33">
        <f t="shared" si="3"/>
        <v>5056.9999899999993</v>
      </c>
      <c r="H33">
        <v>6</v>
      </c>
      <c r="I33" s="1"/>
    </row>
    <row r="34" spans="1:9" x14ac:dyDescent="0.25">
      <c r="A34" t="s">
        <v>70</v>
      </c>
      <c r="B34" t="s">
        <v>71</v>
      </c>
      <c r="C34">
        <v>4072.08</v>
      </c>
      <c r="D34">
        <f t="shared" si="0"/>
        <v>4234.9632000000001</v>
      </c>
      <c r="E34">
        <f t="shared" si="1"/>
        <v>5928.94848</v>
      </c>
      <c r="F34">
        <f t="shared" si="2"/>
        <v>427.5684</v>
      </c>
      <c r="G34">
        <f t="shared" si="3"/>
        <v>6356.5168800000001</v>
      </c>
      <c r="H34">
        <v>4</v>
      </c>
      <c r="I34" s="1"/>
    </row>
    <row r="35" spans="1:9" x14ac:dyDescent="0.25">
      <c r="A35" t="s">
        <v>72</v>
      </c>
      <c r="B35" t="s">
        <v>73</v>
      </c>
      <c r="C35">
        <v>30</v>
      </c>
      <c r="D35">
        <f t="shared" si="0"/>
        <v>31.2</v>
      </c>
      <c r="E35">
        <f t="shared" si="1"/>
        <v>43.68</v>
      </c>
      <c r="F35">
        <f t="shared" si="2"/>
        <v>3.15</v>
      </c>
      <c r="G35">
        <f t="shared" si="3"/>
        <v>46.83</v>
      </c>
      <c r="H35">
        <v>4</v>
      </c>
      <c r="I35" s="1"/>
    </row>
    <row r="36" spans="1:9" x14ac:dyDescent="0.25">
      <c r="A36" t="s">
        <v>74</v>
      </c>
      <c r="B36" t="s">
        <v>75</v>
      </c>
      <c r="C36">
        <v>40</v>
      </c>
      <c r="D36">
        <f t="shared" si="0"/>
        <v>41.6</v>
      </c>
      <c r="E36">
        <f t="shared" si="1"/>
        <v>58.24</v>
      </c>
      <c r="F36">
        <f t="shared" si="2"/>
        <v>4.2</v>
      </c>
      <c r="G36">
        <f t="shared" si="3"/>
        <v>62.440000000000005</v>
      </c>
      <c r="H36">
        <v>100</v>
      </c>
      <c r="I36" s="1"/>
    </row>
    <row r="37" spans="1:9" x14ac:dyDescent="0.25">
      <c r="A37" t="s">
        <v>76</v>
      </c>
      <c r="B37" t="s">
        <v>77</v>
      </c>
      <c r="C37">
        <v>45</v>
      </c>
      <c r="D37">
        <f t="shared" si="0"/>
        <v>46.8</v>
      </c>
      <c r="E37">
        <f t="shared" si="1"/>
        <v>65.52</v>
      </c>
      <c r="F37">
        <f t="shared" si="2"/>
        <v>4.7249999999999996</v>
      </c>
      <c r="G37">
        <f t="shared" si="3"/>
        <v>70.24499999999999</v>
      </c>
      <c r="H37">
        <v>100</v>
      </c>
      <c r="I37" s="1"/>
    </row>
    <row r="38" spans="1:9" x14ac:dyDescent="0.25">
      <c r="A38" t="s">
        <v>78</v>
      </c>
      <c r="B38" t="s">
        <v>79</v>
      </c>
      <c r="C38">
        <v>50</v>
      </c>
      <c r="D38">
        <f t="shared" si="0"/>
        <v>52</v>
      </c>
      <c r="E38">
        <f t="shared" si="1"/>
        <v>72.8</v>
      </c>
      <c r="F38">
        <f t="shared" si="2"/>
        <v>5.25</v>
      </c>
      <c r="G38">
        <f t="shared" si="3"/>
        <v>78.05</v>
      </c>
      <c r="H38">
        <v>100</v>
      </c>
      <c r="I38" s="1"/>
    </row>
    <row r="39" spans="1:9" x14ac:dyDescent="0.25">
      <c r="A39" t="s">
        <v>80</v>
      </c>
      <c r="B39" t="s">
        <v>81</v>
      </c>
      <c r="C39">
        <v>60</v>
      </c>
      <c r="D39">
        <f t="shared" si="0"/>
        <v>62.4</v>
      </c>
      <c r="E39">
        <f t="shared" si="1"/>
        <v>87.36</v>
      </c>
      <c r="F39">
        <f t="shared" si="2"/>
        <v>6.3</v>
      </c>
      <c r="G39">
        <f t="shared" si="3"/>
        <v>93.66</v>
      </c>
      <c r="H39">
        <v>100</v>
      </c>
      <c r="I39" s="1"/>
    </row>
    <row r="40" spans="1:9" x14ac:dyDescent="0.25">
      <c r="A40" t="s">
        <v>82</v>
      </c>
      <c r="B40" t="s">
        <v>83</v>
      </c>
      <c r="C40">
        <v>70</v>
      </c>
      <c r="D40">
        <f t="shared" si="0"/>
        <v>72.8</v>
      </c>
      <c r="E40">
        <f t="shared" si="1"/>
        <v>101.92</v>
      </c>
      <c r="F40">
        <f t="shared" si="2"/>
        <v>7.35</v>
      </c>
      <c r="G40">
        <f t="shared" si="3"/>
        <v>109.27</v>
      </c>
      <c r="H40">
        <v>100</v>
      </c>
      <c r="I40" s="1"/>
    </row>
    <row r="41" spans="1:9" x14ac:dyDescent="0.25">
      <c r="A41" t="s">
        <v>84</v>
      </c>
      <c r="B41" t="s">
        <v>85</v>
      </c>
      <c r="C41">
        <v>110</v>
      </c>
      <c r="D41">
        <f t="shared" si="0"/>
        <v>114.4</v>
      </c>
      <c r="E41">
        <f t="shared" si="1"/>
        <v>160.16000000000003</v>
      </c>
      <c r="F41">
        <f t="shared" si="2"/>
        <v>11.549999999999999</v>
      </c>
      <c r="G41">
        <f t="shared" si="3"/>
        <v>171.71000000000004</v>
      </c>
      <c r="H41">
        <v>100</v>
      </c>
      <c r="I41" s="1"/>
    </row>
    <row r="42" spans="1:9" x14ac:dyDescent="0.25">
      <c r="A42" t="s">
        <v>86</v>
      </c>
      <c r="B42" t="s">
        <v>87</v>
      </c>
      <c r="C42">
        <v>10.39</v>
      </c>
      <c r="D42">
        <f t="shared" si="0"/>
        <v>10.8056</v>
      </c>
      <c r="E42">
        <f t="shared" si="1"/>
        <v>15.127839999999999</v>
      </c>
      <c r="F42">
        <f t="shared" si="2"/>
        <v>1.0909500000000001</v>
      </c>
      <c r="G42">
        <f t="shared" si="3"/>
        <v>16.218789999999998</v>
      </c>
      <c r="H42">
        <v>100</v>
      </c>
      <c r="I42" s="1"/>
    </row>
    <row r="43" spans="1:9" x14ac:dyDescent="0.25">
      <c r="A43" t="s">
        <v>504</v>
      </c>
      <c r="B43" t="s">
        <v>88</v>
      </c>
      <c r="C43">
        <v>15.01</v>
      </c>
      <c r="D43">
        <f t="shared" si="0"/>
        <v>15.6104</v>
      </c>
      <c r="E43">
        <f t="shared" si="1"/>
        <v>21.854559999999999</v>
      </c>
      <c r="F43">
        <f t="shared" si="2"/>
        <v>1.57605</v>
      </c>
      <c r="G43">
        <f t="shared" si="3"/>
        <v>23.430609999999998</v>
      </c>
      <c r="H43">
        <v>500</v>
      </c>
      <c r="I43" s="1"/>
    </row>
    <row r="44" spans="1:9" x14ac:dyDescent="0.25">
      <c r="A44" t="s">
        <v>89</v>
      </c>
      <c r="B44" t="s">
        <v>90</v>
      </c>
      <c r="C44">
        <v>34.65</v>
      </c>
      <c r="D44">
        <f t="shared" si="0"/>
        <v>36.036000000000001</v>
      </c>
      <c r="E44">
        <f t="shared" si="1"/>
        <v>50.450400000000002</v>
      </c>
      <c r="F44">
        <f t="shared" si="2"/>
        <v>3.6382499999999998</v>
      </c>
      <c r="G44">
        <f t="shared" si="3"/>
        <v>54.088650000000001</v>
      </c>
      <c r="H44">
        <v>500</v>
      </c>
      <c r="I44" s="1"/>
    </row>
    <row r="45" spans="1:9" x14ac:dyDescent="0.25">
      <c r="A45" t="s">
        <v>91</v>
      </c>
      <c r="B45" t="s">
        <v>92</v>
      </c>
      <c r="C45">
        <v>46.2</v>
      </c>
      <c r="D45">
        <f t="shared" si="0"/>
        <v>48.048000000000002</v>
      </c>
      <c r="E45">
        <f t="shared" si="1"/>
        <v>67.267200000000003</v>
      </c>
      <c r="F45">
        <f t="shared" si="2"/>
        <v>4.851</v>
      </c>
      <c r="G45">
        <f t="shared" si="3"/>
        <v>72.118200000000002</v>
      </c>
      <c r="H45">
        <v>300</v>
      </c>
      <c r="I45" s="1"/>
    </row>
    <row r="46" spans="1:9" x14ac:dyDescent="0.25">
      <c r="A46" t="s">
        <v>93</v>
      </c>
      <c r="B46" t="s">
        <v>94</v>
      </c>
      <c r="C46">
        <v>120.12</v>
      </c>
      <c r="D46">
        <f t="shared" si="0"/>
        <v>124.9248</v>
      </c>
      <c r="E46">
        <f t="shared" si="1"/>
        <v>174.89472000000001</v>
      </c>
      <c r="F46">
        <f t="shared" si="2"/>
        <v>12.6126</v>
      </c>
      <c r="G46">
        <f t="shared" si="3"/>
        <v>187.50731999999999</v>
      </c>
      <c r="H46">
        <v>300</v>
      </c>
      <c r="I46" s="1"/>
    </row>
    <row r="47" spans="1:9" x14ac:dyDescent="0.25">
      <c r="A47" t="s">
        <v>95</v>
      </c>
      <c r="B47" t="s">
        <v>96</v>
      </c>
      <c r="C47">
        <v>87.15</v>
      </c>
      <c r="D47">
        <f t="shared" si="0"/>
        <v>90.63600000000001</v>
      </c>
      <c r="E47">
        <f t="shared" si="1"/>
        <v>126.89040000000001</v>
      </c>
      <c r="F47">
        <f t="shared" si="2"/>
        <v>9.1507500000000004</v>
      </c>
      <c r="G47">
        <f t="shared" si="3"/>
        <v>136.04115000000002</v>
      </c>
      <c r="H47">
        <v>100</v>
      </c>
      <c r="I47" s="1"/>
    </row>
    <row r="48" spans="1:9" x14ac:dyDescent="0.25">
      <c r="A48" t="s">
        <v>97</v>
      </c>
      <c r="B48" t="s">
        <v>98</v>
      </c>
      <c r="C48">
        <v>74.55</v>
      </c>
      <c r="D48">
        <f t="shared" si="0"/>
        <v>77.531999999999996</v>
      </c>
      <c r="E48">
        <f t="shared" si="1"/>
        <v>108.5448</v>
      </c>
      <c r="F48">
        <f t="shared" si="2"/>
        <v>7.8277499999999991</v>
      </c>
      <c r="G48">
        <f t="shared" si="3"/>
        <v>116.37254999999999</v>
      </c>
      <c r="H48">
        <v>100</v>
      </c>
      <c r="I48" s="1"/>
    </row>
    <row r="49" spans="1:9" x14ac:dyDescent="0.25">
      <c r="A49" t="s">
        <v>99</v>
      </c>
      <c r="B49" t="s">
        <v>100</v>
      </c>
      <c r="C49">
        <v>107.1</v>
      </c>
      <c r="D49">
        <f t="shared" si="0"/>
        <v>111.384</v>
      </c>
      <c r="E49">
        <f t="shared" si="1"/>
        <v>155.9376</v>
      </c>
      <c r="F49">
        <f t="shared" si="2"/>
        <v>11.2455</v>
      </c>
      <c r="G49">
        <f t="shared" si="3"/>
        <v>167.1831</v>
      </c>
      <c r="H49">
        <v>100</v>
      </c>
      <c r="I49" s="1"/>
    </row>
    <row r="50" spans="1:9" x14ac:dyDescent="0.25">
      <c r="A50" t="s">
        <v>101</v>
      </c>
      <c r="B50" t="s">
        <v>102</v>
      </c>
      <c r="C50">
        <v>138.6</v>
      </c>
      <c r="D50">
        <f t="shared" si="0"/>
        <v>144.14400000000001</v>
      </c>
      <c r="E50">
        <f t="shared" si="1"/>
        <v>201.80160000000001</v>
      </c>
      <c r="F50">
        <f t="shared" si="2"/>
        <v>14.552999999999999</v>
      </c>
      <c r="G50">
        <f t="shared" si="3"/>
        <v>216.3546</v>
      </c>
      <c r="H50">
        <v>100</v>
      </c>
      <c r="I50" s="1"/>
    </row>
    <row r="51" spans="1:9" x14ac:dyDescent="0.25">
      <c r="A51" t="s">
        <v>103</v>
      </c>
      <c r="B51" t="s">
        <v>104</v>
      </c>
      <c r="C51">
        <v>28.87</v>
      </c>
      <c r="D51">
        <f t="shared" si="0"/>
        <v>30.024800000000003</v>
      </c>
      <c r="E51">
        <f t="shared" si="1"/>
        <v>42.034720000000007</v>
      </c>
      <c r="F51">
        <f t="shared" si="2"/>
        <v>3.0313500000000002</v>
      </c>
      <c r="G51">
        <f t="shared" si="3"/>
        <v>45.066070000000011</v>
      </c>
      <c r="H51">
        <v>100</v>
      </c>
      <c r="I51" s="1"/>
    </row>
    <row r="52" spans="1:9" x14ac:dyDescent="0.25">
      <c r="A52" t="s">
        <v>105</v>
      </c>
      <c r="B52" t="s">
        <v>106</v>
      </c>
      <c r="C52">
        <v>39.270000000000003</v>
      </c>
      <c r="D52">
        <f t="shared" si="0"/>
        <v>40.840800000000002</v>
      </c>
      <c r="E52">
        <f t="shared" si="1"/>
        <v>57.177120000000002</v>
      </c>
      <c r="F52">
        <f t="shared" si="2"/>
        <v>4.1233500000000003</v>
      </c>
      <c r="G52">
        <f t="shared" si="3"/>
        <v>61.300470000000004</v>
      </c>
      <c r="H52">
        <v>200</v>
      </c>
      <c r="I52" s="1"/>
    </row>
    <row r="53" spans="1:9" x14ac:dyDescent="0.25">
      <c r="A53" t="s">
        <v>107</v>
      </c>
      <c r="B53" t="s">
        <v>108</v>
      </c>
      <c r="C53">
        <v>54.28</v>
      </c>
      <c r="D53">
        <f t="shared" si="0"/>
        <v>56.4512</v>
      </c>
      <c r="E53">
        <f t="shared" si="1"/>
        <v>79.031679999999994</v>
      </c>
      <c r="F53">
        <f t="shared" si="2"/>
        <v>5.6993999999999998</v>
      </c>
      <c r="G53">
        <f t="shared" si="3"/>
        <v>84.731079999999992</v>
      </c>
      <c r="H53">
        <v>200</v>
      </c>
      <c r="I53" s="1"/>
    </row>
    <row r="54" spans="1:9" x14ac:dyDescent="0.25">
      <c r="A54" t="s">
        <v>109</v>
      </c>
      <c r="B54" t="s">
        <v>110</v>
      </c>
      <c r="C54">
        <v>71.61</v>
      </c>
      <c r="D54">
        <f t="shared" si="0"/>
        <v>74.474400000000003</v>
      </c>
      <c r="E54">
        <f t="shared" si="1"/>
        <v>104.26416</v>
      </c>
      <c r="F54">
        <f t="shared" si="2"/>
        <v>7.51905</v>
      </c>
      <c r="G54">
        <f t="shared" si="3"/>
        <v>111.78321</v>
      </c>
      <c r="H54">
        <v>200</v>
      </c>
      <c r="I54" s="1"/>
    </row>
    <row r="55" spans="1:9" x14ac:dyDescent="0.25">
      <c r="A55" t="s">
        <v>111</v>
      </c>
      <c r="B55" t="s">
        <v>112</v>
      </c>
      <c r="C55">
        <v>29.4</v>
      </c>
      <c r="D55">
        <f t="shared" si="0"/>
        <v>30.575999999999997</v>
      </c>
      <c r="E55">
        <f t="shared" si="1"/>
        <v>42.806399999999996</v>
      </c>
      <c r="F55">
        <f t="shared" si="2"/>
        <v>3.0869999999999997</v>
      </c>
      <c r="G55">
        <f t="shared" si="3"/>
        <v>45.8934</v>
      </c>
      <c r="H55">
        <v>200</v>
      </c>
      <c r="I55" s="1"/>
    </row>
    <row r="56" spans="1:9" x14ac:dyDescent="0.25">
      <c r="A56" t="s">
        <v>113</v>
      </c>
      <c r="B56" t="s">
        <v>114</v>
      </c>
      <c r="C56">
        <v>34.65</v>
      </c>
      <c r="D56">
        <f t="shared" si="0"/>
        <v>36.036000000000001</v>
      </c>
      <c r="E56">
        <f t="shared" si="1"/>
        <v>50.450400000000002</v>
      </c>
      <c r="F56">
        <f t="shared" si="2"/>
        <v>3.6382499999999998</v>
      </c>
      <c r="G56">
        <f t="shared" si="3"/>
        <v>54.088650000000001</v>
      </c>
      <c r="H56">
        <v>100</v>
      </c>
      <c r="I56" s="1"/>
    </row>
    <row r="57" spans="1:9" x14ac:dyDescent="0.25">
      <c r="A57" t="s">
        <v>115</v>
      </c>
      <c r="B57" t="s">
        <v>116</v>
      </c>
      <c r="C57">
        <v>45.15</v>
      </c>
      <c r="D57">
        <f t="shared" si="0"/>
        <v>46.955999999999996</v>
      </c>
      <c r="E57">
        <f t="shared" si="1"/>
        <v>65.738399999999999</v>
      </c>
      <c r="F57">
        <f t="shared" si="2"/>
        <v>4.7407499999999994</v>
      </c>
      <c r="G57">
        <f t="shared" si="3"/>
        <v>70.479150000000004</v>
      </c>
      <c r="H57">
        <v>100</v>
      </c>
      <c r="I57" s="1"/>
    </row>
    <row r="58" spans="1:9" x14ac:dyDescent="0.25">
      <c r="A58" t="s">
        <v>117</v>
      </c>
      <c r="B58" t="s">
        <v>118</v>
      </c>
      <c r="C58">
        <v>55.65</v>
      </c>
      <c r="D58">
        <f t="shared" si="0"/>
        <v>57.875999999999998</v>
      </c>
      <c r="E58">
        <f t="shared" si="1"/>
        <v>81.026399999999995</v>
      </c>
      <c r="F58">
        <f t="shared" si="2"/>
        <v>5.8432499999999994</v>
      </c>
      <c r="G58">
        <f t="shared" si="3"/>
        <v>86.869649999999993</v>
      </c>
      <c r="H58">
        <v>100</v>
      </c>
      <c r="I58" s="1"/>
    </row>
    <row r="59" spans="1:9" x14ac:dyDescent="0.25">
      <c r="A59" t="s">
        <v>119</v>
      </c>
      <c r="B59" t="s">
        <v>120</v>
      </c>
      <c r="C59">
        <v>76.650000000000006</v>
      </c>
      <c r="D59">
        <f t="shared" si="0"/>
        <v>79.716000000000008</v>
      </c>
      <c r="E59">
        <f t="shared" si="1"/>
        <v>111.60240000000002</v>
      </c>
      <c r="F59">
        <f t="shared" si="2"/>
        <v>8.0482499999999995</v>
      </c>
      <c r="G59">
        <f t="shared" si="3"/>
        <v>119.65065000000001</v>
      </c>
      <c r="H59">
        <v>100</v>
      </c>
      <c r="I59" s="1"/>
    </row>
    <row r="60" spans="1:9" x14ac:dyDescent="0.25">
      <c r="A60" t="s">
        <v>121</v>
      </c>
      <c r="B60" t="s">
        <v>122</v>
      </c>
      <c r="C60">
        <v>92.4</v>
      </c>
      <c r="D60">
        <f t="shared" si="0"/>
        <v>96.096000000000004</v>
      </c>
      <c r="E60">
        <f t="shared" si="1"/>
        <v>134.53440000000001</v>
      </c>
      <c r="F60">
        <f t="shared" si="2"/>
        <v>9.702</v>
      </c>
      <c r="G60">
        <f t="shared" si="3"/>
        <v>144.2364</v>
      </c>
      <c r="H60">
        <v>100</v>
      </c>
      <c r="I60" s="1"/>
    </row>
    <row r="61" spans="1:9" x14ac:dyDescent="0.25">
      <c r="A61" t="s">
        <v>123</v>
      </c>
      <c r="B61" t="s">
        <v>124</v>
      </c>
      <c r="C61">
        <v>55.65</v>
      </c>
      <c r="D61">
        <f t="shared" si="0"/>
        <v>57.875999999999998</v>
      </c>
      <c r="E61">
        <f t="shared" si="1"/>
        <v>81.026399999999995</v>
      </c>
      <c r="F61">
        <f t="shared" si="2"/>
        <v>5.8432499999999994</v>
      </c>
      <c r="G61">
        <f t="shared" si="3"/>
        <v>86.869649999999993</v>
      </c>
      <c r="H61">
        <v>100</v>
      </c>
      <c r="I61" s="1"/>
    </row>
    <row r="62" spans="1:9" x14ac:dyDescent="0.25">
      <c r="A62" t="s">
        <v>125</v>
      </c>
      <c r="B62" t="s">
        <v>126</v>
      </c>
      <c r="C62">
        <v>70.45</v>
      </c>
      <c r="D62">
        <f t="shared" si="0"/>
        <v>73.268000000000001</v>
      </c>
      <c r="E62">
        <f t="shared" si="1"/>
        <v>102.5752</v>
      </c>
      <c r="F62">
        <f t="shared" si="2"/>
        <v>7.3972499999999997</v>
      </c>
      <c r="G62">
        <f t="shared" si="3"/>
        <v>109.97244999999999</v>
      </c>
      <c r="H62">
        <v>100</v>
      </c>
      <c r="I62" s="1"/>
    </row>
    <row r="63" spans="1:9" x14ac:dyDescent="0.25">
      <c r="A63" t="s">
        <v>127</v>
      </c>
      <c r="B63" t="s">
        <v>128</v>
      </c>
      <c r="C63">
        <v>89.25</v>
      </c>
      <c r="D63">
        <f t="shared" si="0"/>
        <v>92.82</v>
      </c>
      <c r="E63">
        <f t="shared" si="1"/>
        <v>129.94799999999998</v>
      </c>
      <c r="F63">
        <f t="shared" si="2"/>
        <v>9.3712499999999999</v>
      </c>
      <c r="G63">
        <f t="shared" si="3"/>
        <v>139.31924999999998</v>
      </c>
      <c r="H63">
        <v>100</v>
      </c>
      <c r="I63" s="1"/>
    </row>
    <row r="64" spans="1:9" x14ac:dyDescent="0.25">
      <c r="A64" t="s">
        <v>129</v>
      </c>
      <c r="B64" t="s">
        <v>130</v>
      </c>
      <c r="C64">
        <v>123.9</v>
      </c>
      <c r="D64">
        <f t="shared" si="0"/>
        <v>128.85599999999999</v>
      </c>
      <c r="E64">
        <f t="shared" si="1"/>
        <v>180.39839999999998</v>
      </c>
      <c r="F64">
        <f t="shared" si="2"/>
        <v>13.009500000000001</v>
      </c>
      <c r="G64">
        <f t="shared" si="3"/>
        <v>193.40789999999998</v>
      </c>
      <c r="H64">
        <v>100</v>
      </c>
      <c r="I64" s="1"/>
    </row>
    <row r="65" spans="1:9" x14ac:dyDescent="0.25">
      <c r="A65" t="s">
        <v>131</v>
      </c>
      <c r="B65" t="s">
        <v>132</v>
      </c>
      <c r="C65">
        <v>145.94999999999999</v>
      </c>
      <c r="D65">
        <f t="shared" si="0"/>
        <v>151.78799999999998</v>
      </c>
      <c r="E65">
        <f t="shared" si="1"/>
        <v>212.50319999999999</v>
      </c>
      <c r="F65">
        <f t="shared" si="2"/>
        <v>15.324749999999998</v>
      </c>
      <c r="G65">
        <f t="shared" si="3"/>
        <v>227.82794999999999</v>
      </c>
      <c r="H65">
        <v>100</v>
      </c>
      <c r="I65" s="1"/>
    </row>
    <row r="66" spans="1:9" x14ac:dyDescent="0.25">
      <c r="A66" t="s">
        <v>133</v>
      </c>
      <c r="B66" t="s">
        <v>134</v>
      </c>
      <c r="C66">
        <v>80.849999999999994</v>
      </c>
      <c r="D66">
        <f t="shared" si="0"/>
        <v>84.083999999999989</v>
      </c>
      <c r="E66">
        <f t="shared" si="1"/>
        <v>117.71759999999998</v>
      </c>
      <c r="F66">
        <f t="shared" si="2"/>
        <v>8.4892499999999984</v>
      </c>
      <c r="G66">
        <f t="shared" si="3"/>
        <v>126.20684999999997</v>
      </c>
      <c r="H66">
        <v>100</v>
      </c>
      <c r="I66" s="1"/>
    </row>
    <row r="67" spans="1:9" x14ac:dyDescent="0.25">
      <c r="A67" t="s">
        <v>135</v>
      </c>
      <c r="B67" t="s">
        <v>136</v>
      </c>
      <c r="C67">
        <v>108.15</v>
      </c>
      <c r="D67">
        <f t="shared" si="0"/>
        <v>112.476</v>
      </c>
      <c r="E67">
        <f t="shared" si="1"/>
        <v>157.46639999999999</v>
      </c>
      <c r="F67">
        <f t="shared" si="2"/>
        <v>11.35575</v>
      </c>
      <c r="G67">
        <f t="shared" si="3"/>
        <v>168.82214999999999</v>
      </c>
      <c r="H67">
        <v>100</v>
      </c>
      <c r="I67" s="1"/>
    </row>
    <row r="68" spans="1:9" x14ac:dyDescent="0.25">
      <c r="A68" t="s">
        <v>137</v>
      </c>
      <c r="B68" t="s">
        <v>138</v>
      </c>
      <c r="C68">
        <v>131.66999999999999</v>
      </c>
      <c r="D68">
        <f t="shared" ref="D68:D131" si="4">C68+(C68*$D$2)</f>
        <v>136.93679999999998</v>
      </c>
      <c r="E68">
        <f t="shared" ref="E68:E131" si="5">D68+(D68*$E$2)</f>
        <v>191.71151999999998</v>
      </c>
      <c r="F68">
        <f t="shared" ref="F68:F131" si="6">C68*$F$2</f>
        <v>13.825349999999998</v>
      </c>
      <c r="G68">
        <f t="shared" ref="G68:G131" si="7">E68+F68</f>
        <v>205.53686999999996</v>
      </c>
      <c r="H68">
        <v>100</v>
      </c>
      <c r="I68" s="1"/>
    </row>
    <row r="69" spans="1:9" x14ac:dyDescent="0.25">
      <c r="A69" t="s">
        <v>139</v>
      </c>
      <c r="B69" t="s">
        <v>140</v>
      </c>
      <c r="C69">
        <v>76.23</v>
      </c>
      <c r="D69">
        <f t="shared" si="4"/>
        <v>79.279200000000003</v>
      </c>
      <c r="E69">
        <f t="shared" si="5"/>
        <v>110.99088</v>
      </c>
      <c r="F69">
        <f t="shared" si="6"/>
        <v>8.004150000000001</v>
      </c>
      <c r="G69">
        <f t="shared" si="7"/>
        <v>118.99503</v>
      </c>
      <c r="H69">
        <v>100</v>
      </c>
      <c r="I69" s="1"/>
    </row>
    <row r="70" spans="1:9" x14ac:dyDescent="0.25">
      <c r="A70" t="s">
        <v>141</v>
      </c>
      <c r="B70" t="s">
        <v>142</v>
      </c>
      <c r="C70">
        <v>88.93</v>
      </c>
      <c r="D70">
        <f t="shared" si="4"/>
        <v>92.487200000000001</v>
      </c>
      <c r="E70">
        <f t="shared" si="5"/>
        <v>129.48208</v>
      </c>
      <c r="F70">
        <f t="shared" si="6"/>
        <v>9.33765</v>
      </c>
      <c r="G70">
        <f t="shared" si="7"/>
        <v>138.81972999999999</v>
      </c>
      <c r="H70">
        <v>100</v>
      </c>
      <c r="I70" s="1"/>
    </row>
    <row r="71" spans="1:9" x14ac:dyDescent="0.25">
      <c r="A71" t="s">
        <v>143</v>
      </c>
      <c r="B71" t="s">
        <v>144</v>
      </c>
      <c r="C71">
        <v>99.33</v>
      </c>
      <c r="D71">
        <f t="shared" si="4"/>
        <v>103.3032</v>
      </c>
      <c r="E71">
        <f t="shared" si="5"/>
        <v>144.62448000000001</v>
      </c>
      <c r="F71">
        <f t="shared" si="6"/>
        <v>10.429649999999999</v>
      </c>
      <c r="G71">
        <f t="shared" si="7"/>
        <v>155.05413000000001</v>
      </c>
      <c r="H71">
        <v>100</v>
      </c>
      <c r="I71" s="1"/>
    </row>
    <row r="72" spans="1:9" x14ac:dyDescent="0.25">
      <c r="A72" t="s">
        <v>145</v>
      </c>
      <c r="B72" t="s">
        <v>146</v>
      </c>
      <c r="C72">
        <v>127.05</v>
      </c>
      <c r="D72">
        <f t="shared" si="4"/>
        <v>132.13200000000001</v>
      </c>
      <c r="E72">
        <f t="shared" si="5"/>
        <v>184.98480000000001</v>
      </c>
      <c r="F72">
        <f t="shared" si="6"/>
        <v>13.340249999999999</v>
      </c>
      <c r="G72">
        <f t="shared" si="7"/>
        <v>198.32505</v>
      </c>
      <c r="H72">
        <v>100</v>
      </c>
      <c r="I72" s="1"/>
    </row>
    <row r="73" spans="1:9" x14ac:dyDescent="0.25">
      <c r="A73" t="s">
        <v>147</v>
      </c>
      <c r="B73" t="s">
        <v>148</v>
      </c>
      <c r="C73">
        <v>140.91</v>
      </c>
      <c r="D73">
        <f t="shared" si="4"/>
        <v>146.54640000000001</v>
      </c>
      <c r="E73">
        <f t="shared" si="5"/>
        <v>205.16496000000001</v>
      </c>
      <c r="F73">
        <f t="shared" si="6"/>
        <v>14.795549999999999</v>
      </c>
      <c r="G73">
        <f t="shared" si="7"/>
        <v>219.96051</v>
      </c>
      <c r="H73">
        <v>100</v>
      </c>
      <c r="I73" s="1"/>
    </row>
    <row r="74" spans="1:9" x14ac:dyDescent="0.25">
      <c r="A74" t="s">
        <v>149</v>
      </c>
      <c r="B74" t="s">
        <v>150</v>
      </c>
      <c r="C74">
        <v>158.22999999999999</v>
      </c>
      <c r="D74">
        <f t="shared" si="4"/>
        <v>164.55919999999998</v>
      </c>
      <c r="E74">
        <f t="shared" si="5"/>
        <v>230.38287999999997</v>
      </c>
      <c r="F74">
        <f t="shared" si="6"/>
        <v>16.614149999999999</v>
      </c>
      <c r="G74">
        <f t="shared" si="7"/>
        <v>246.99702999999997</v>
      </c>
      <c r="H74">
        <v>100</v>
      </c>
      <c r="I74" s="1"/>
    </row>
    <row r="75" spans="1:9" x14ac:dyDescent="0.25">
      <c r="A75" t="s">
        <v>151</v>
      </c>
      <c r="B75" t="s">
        <v>152</v>
      </c>
      <c r="C75">
        <v>24.25</v>
      </c>
      <c r="D75">
        <f t="shared" si="4"/>
        <v>25.22</v>
      </c>
      <c r="E75">
        <f t="shared" si="5"/>
        <v>35.308</v>
      </c>
      <c r="F75">
        <f t="shared" si="6"/>
        <v>2.5462500000000001</v>
      </c>
      <c r="G75">
        <f t="shared" si="7"/>
        <v>37.85425</v>
      </c>
      <c r="H75">
        <v>100</v>
      </c>
      <c r="I75" s="1"/>
    </row>
    <row r="76" spans="1:9" x14ac:dyDescent="0.25">
      <c r="A76" t="s">
        <v>153</v>
      </c>
      <c r="B76" t="s">
        <v>154</v>
      </c>
      <c r="C76">
        <v>28.87</v>
      </c>
      <c r="D76">
        <f t="shared" si="4"/>
        <v>30.024800000000003</v>
      </c>
      <c r="E76">
        <f t="shared" si="5"/>
        <v>42.034720000000007</v>
      </c>
      <c r="F76">
        <f t="shared" si="6"/>
        <v>3.0313500000000002</v>
      </c>
      <c r="G76">
        <f t="shared" si="7"/>
        <v>45.066070000000011</v>
      </c>
      <c r="H76">
        <v>200</v>
      </c>
      <c r="I76" s="1"/>
    </row>
    <row r="77" spans="1:9" x14ac:dyDescent="0.25">
      <c r="A77" t="s">
        <v>155</v>
      </c>
      <c r="B77" t="s">
        <v>156</v>
      </c>
      <c r="C77">
        <v>34.65</v>
      </c>
      <c r="D77">
        <f t="shared" si="4"/>
        <v>36.036000000000001</v>
      </c>
      <c r="E77">
        <f t="shared" si="5"/>
        <v>50.450400000000002</v>
      </c>
      <c r="F77">
        <f t="shared" si="6"/>
        <v>3.6382499999999998</v>
      </c>
      <c r="G77">
        <f t="shared" si="7"/>
        <v>54.088650000000001</v>
      </c>
      <c r="H77">
        <v>300</v>
      </c>
      <c r="I77" s="1"/>
    </row>
    <row r="78" spans="1:9" x14ac:dyDescent="0.25">
      <c r="A78" t="s">
        <v>157</v>
      </c>
      <c r="B78" t="s">
        <v>158</v>
      </c>
      <c r="C78">
        <v>53.13</v>
      </c>
      <c r="D78">
        <f t="shared" si="4"/>
        <v>55.255200000000002</v>
      </c>
      <c r="E78">
        <f t="shared" si="5"/>
        <v>77.357280000000003</v>
      </c>
      <c r="F78">
        <f t="shared" si="6"/>
        <v>5.5786499999999997</v>
      </c>
      <c r="G78">
        <f t="shared" si="7"/>
        <v>82.935929999999999</v>
      </c>
      <c r="H78">
        <v>300</v>
      </c>
      <c r="I78" s="1"/>
    </row>
    <row r="79" spans="1:9" x14ac:dyDescent="0.25">
      <c r="A79" t="s">
        <v>159</v>
      </c>
      <c r="B79" t="s">
        <v>160</v>
      </c>
      <c r="C79">
        <v>69.3</v>
      </c>
      <c r="D79">
        <f t="shared" si="4"/>
        <v>72.072000000000003</v>
      </c>
      <c r="E79">
        <f t="shared" si="5"/>
        <v>100.9008</v>
      </c>
      <c r="F79">
        <f t="shared" si="6"/>
        <v>7.2764999999999995</v>
      </c>
      <c r="G79">
        <f t="shared" si="7"/>
        <v>108.1773</v>
      </c>
      <c r="H79">
        <v>300</v>
      </c>
      <c r="I79" s="1"/>
    </row>
    <row r="80" spans="1:9" x14ac:dyDescent="0.25">
      <c r="A80" t="s">
        <v>161</v>
      </c>
      <c r="B80" t="s">
        <v>162</v>
      </c>
      <c r="C80">
        <v>41.58</v>
      </c>
      <c r="D80">
        <f t="shared" si="4"/>
        <v>43.243200000000002</v>
      </c>
      <c r="E80">
        <f t="shared" si="5"/>
        <v>60.540480000000002</v>
      </c>
      <c r="F80">
        <f t="shared" si="6"/>
        <v>4.3658999999999999</v>
      </c>
      <c r="G80">
        <f t="shared" si="7"/>
        <v>64.906379999999999</v>
      </c>
      <c r="H80">
        <v>200</v>
      </c>
      <c r="I80" s="1"/>
    </row>
    <row r="81" spans="1:9" x14ac:dyDescent="0.25">
      <c r="A81" t="s">
        <v>163</v>
      </c>
      <c r="B81" t="s">
        <v>164</v>
      </c>
      <c r="C81">
        <v>49.66</v>
      </c>
      <c r="D81">
        <f t="shared" si="4"/>
        <v>51.6464</v>
      </c>
      <c r="E81">
        <f t="shared" si="5"/>
        <v>72.304959999999994</v>
      </c>
      <c r="F81">
        <f t="shared" si="6"/>
        <v>5.2142999999999997</v>
      </c>
      <c r="G81">
        <f t="shared" si="7"/>
        <v>77.519259999999989</v>
      </c>
      <c r="H81">
        <v>300</v>
      </c>
      <c r="I81" s="1"/>
    </row>
    <row r="82" spans="1:9" x14ac:dyDescent="0.25">
      <c r="A82" t="s">
        <v>165</v>
      </c>
      <c r="B82" t="s">
        <v>166</v>
      </c>
      <c r="C82">
        <v>72.760000000000005</v>
      </c>
      <c r="D82">
        <f t="shared" si="4"/>
        <v>75.670400000000001</v>
      </c>
      <c r="E82">
        <f t="shared" si="5"/>
        <v>105.93856</v>
      </c>
      <c r="F82">
        <f t="shared" si="6"/>
        <v>7.6398000000000001</v>
      </c>
      <c r="G82">
        <f t="shared" si="7"/>
        <v>113.57835999999999</v>
      </c>
      <c r="H82">
        <v>300</v>
      </c>
      <c r="I82" s="1"/>
    </row>
    <row r="83" spans="1:9" x14ac:dyDescent="0.25">
      <c r="A83" t="s">
        <v>167</v>
      </c>
      <c r="B83" t="s">
        <v>168</v>
      </c>
      <c r="C83">
        <v>93.55</v>
      </c>
      <c r="D83">
        <f t="shared" si="4"/>
        <v>97.292000000000002</v>
      </c>
      <c r="E83">
        <f t="shared" si="5"/>
        <v>136.2088</v>
      </c>
      <c r="F83">
        <f t="shared" si="6"/>
        <v>9.8227499999999992</v>
      </c>
      <c r="G83">
        <f t="shared" si="7"/>
        <v>146.03154999999998</v>
      </c>
      <c r="H83">
        <v>500</v>
      </c>
      <c r="I83" s="1"/>
    </row>
    <row r="84" spans="1:9" x14ac:dyDescent="0.25">
      <c r="A84" t="s">
        <v>169</v>
      </c>
      <c r="B84" t="s">
        <v>170</v>
      </c>
      <c r="C84">
        <v>95.86</v>
      </c>
      <c r="D84">
        <f t="shared" si="4"/>
        <v>99.694400000000002</v>
      </c>
      <c r="E84">
        <f t="shared" si="5"/>
        <v>139.57216</v>
      </c>
      <c r="F84">
        <f t="shared" si="6"/>
        <v>10.065299999999999</v>
      </c>
      <c r="G84">
        <f t="shared" si="7"/>
        <v>149.63746</v>
      </c>
      <c r="H84">
        <v>200</v>
      </c>
      <c r="I84" s="1"/>
    </row>
    <row r="85" spans="1:9" x14ac:dyDescent="0.25">
      <c r="A85" t="s">
        <v>171</v>
      </c>
      <c r="B85" t="s">
        <v>172</v>
      </c>
      <c r="C85">
        <v>122.43</v>
      </c>
      <c r="D85">
        <f t="shared" si="4"/>
        <v>127.3272</v>
      </c>
      <c r="E85">
        <f t="shared" si="5"/>
        <v>178.25808000000001</v>
      </c>
      <c r="F85">
        <f t="shared" si="6"/>
        <v>12.85515</v>
      </c>
      <c r="G85">
        <f t="shared" si="7"/>
        <v>191.11323000000002</v>
      </c>
      <c r="H85">
        <v>150</v>
      </c>
      <c r="I85" s="1"/>
    </row>
    <row r="86" spans="1:9" x14ac:dyDescent="0.25">
      <c r="A86" t="s">
        <v>173</v>
      </c>
      <c r="B86" t="s">
        <v>174</v>
      </c>
      <c r="C86">
        <v>15.75</v>
      </c>
      <c r="D86">
        <f t="shared" si="4"/>
        <v>16.38</v>
      </c>
      <c r="E86">
        <f t="shared" si="5"/>
        <v>22.931999999999999</v>
      </c>
      <c r="F86">
        <f t="shared" si="6"/>
        <v>1.6537499999999998</v>
      </c>
      <c r="G86">
        <f t="shared" si="7"/>
        <v>24.585749999999997</v>
      </c>
      <c r="H86">
        <v>150</v>
      </c>
      <c r="I86" s="1"/>
    </row>
    <row r="87" spans="1:9" x14ac:dyDescent="0.25">
      <c r="A87" t="s">
        <v>175</v>
      </c>
      <c r="B87" t="s">
        <v>176</v>
      </c>
      <c r="C87">
        <v>22.05</v>
      </c>
      <c r="D87">
        <f t="shared" si="4"/>
        <v>22.932000000000002</v>
      </c>
      <c r="E87">
        <f t="shared" si="5"/>
        <v>32.104800000000004</v>
      </c>
      <c r="F87">
        <f t="shared" si="6"/>
        <v>2.3152499999999998</v>
      </c>
      <c r="G87">
        <f t="shared" si="7"/>
        <v>34.420050000000003</v>
      </c>
      <c r="H87">
        <v>200</v>
      </c>
      <c r="I87" s="1"/>
    </row>
    <row r="88" spans="1:9" x14ac:dyDescent="0.25">
      <c r="A88" t="s">
        <v>177</v>
      </c>
      <c r="B88" t="s">
        <v>178</v>
      </c>
      <c r="C88">
        <v>30.45</v>
      </c>
      <c r="D88">
        <f t="shared" si="4"/>
        <v>31.667999999999999</v>
      </c>
      <c r="E88">
        <f t="shared" si="5"/>
        <v>44.3352</v>
      </c>
      <c r="F88">
        <f t="shared" si="6"/>
        <v>3.1972499999999999</v>
      </c>
      <c r="G88">
        <f t="shared" si="7"/>
        <v>47.532449999999997</v>
      </c>
      <c r="H88">
        <v>200</v>
      </c>
      <c r="I88" s="1"/>
    </row>
    <row r="89" spans="1:9" x14ac:dyDescent="0.25">
      <c r="A89" t="s">
        <v>179</v>
      </c>
      <c r="B89" t="s">
        <v>180</v>
      </c>
      <c r="C89">
        <v>51.45</v>
      </c>
      <c r="D89">
        <f t="shared" si="4"/>
        <v>53.508000000000003</v>
      </c>
      <c r="E89">
        <f t="shared" si="5"/>
        <v>74.911200000000008</v>
      </c>
      <c r="F89">
        <f t="shared" si="6"/>
        <v>5.4022500000000004</v>
      </c>
      <c r="G89">
        <f t="shared" si="7"/>
        <v>80.313450000000003</v>
      </c>
      <c r="H89">
        <v>200</v>
      </c>
      <c r="I89" s="1"/>
    </row>
    <row r="90" spans="1:9" x14ac:dyDescent="0.25">
      <c r="A90" t="s">
        <v>181</v>
      </c>
      <c r="B90" t="s">
        <v>182</v>
      </c>
      <c r="C90">
        <v>73.5</v>
      </c>
      <c r="D90">
        <f t="shared" si="4"/>
        <v>76.44</v>
      </c>
      <c r="E90">
        <f t="shared" si="5"/>
        <v>107.01599999999999</v>
      </c>
      <c r="F90">
        <f t="shared" si="6"/>
        <v>7.7174999999999994</v>
      </c>
      <c r="G90">
        <f t="shared" si="7"/>
        <v>114.73349999999999</v>
      </c>
      <c r="H90">
        <v>100</v>
      </c>
      <c r="I90" s="1"/>
    </row>
    <row r="91" spans="1:9" x14ac:dyDescent="0.25">
      <c r="A91" t="s">
        <v>183</v>
      </c>
      <c r="B91" t="s">
        <v>184</v>
      </c>
      <c r="C91">
        <v>14.7</v>
      </c>
      <c r="D91">
        <f t="shared" si="4"/>
        <v>15.287999999999998</v>
      </c>
      <c r="E91">
        <f t="shared" si="5"/>
        <v>21.403199999999998</v>
      </c>
      <c r="F91">
        <f t="shared" si="6"/>
        <v>1.5434999999999999</v>
      </c>
      <c r="G91">
        <f t="shared" si="7"/>
        <v>22.9467</v>
      </c>
      <c r="H91">
        <v>100</v>
      </c>
      <c r="I91" s="1"/>
    </row>
    <row r="92" spans="1:9" x14ac:dyDescent="0.25">
      <c r="A92" t="s">
        <v>185</v>
      </c>
      <c r="B92" t="s">
        <v>186</v>
      </c>
      <c r="C92">
        <v>13.86</v>
      </c>
      <c r="D92">
        <f t="shared" si="4"/>
        <v>14.414399999999999</v>
      </c>
      <c r="E92">
        <f t="shared" si="5"/>
        <v>20.180160000000001</v>
      </c>
      <c r="F92">
        <f t="shared" si="6"/>
        <v>1.4552999999999998</v>
      </c>
      <c r="G92">
        <f t="shared" si="7"/>
        <v>21.635460000000002</v>
      </c>
      <c r="H92">
        <v>200</v>
      </c>
      <c r="I92" s="1"/>
    </row>
    <row r="93" spans="1:9" x14ac:dyDescent="0.25">
      <c r="A93" t="s">
        <v>187</v>
      </c>
      <c r="B93" t="s">
        <v>188</v>
      </c>
      <c r="C93">
        <v>32.340000000000003</v>
      </c>
      <c r="D93">
        <f t="shared" si="4"/>
        <v>33.633600000000001</v>
      </c>
      <c r="E93">
        <f t="shared" si="5"/>
        <v>47.087040000000002</v>
      </c>
      <c r="F93">
        <f t="shared" si="6"/>
        <v>3.3957000000000002</v>
      </c>
      <c r="G93">
        <f t="shared" si="7"/>
        <v>50.48274</v>
      </c>
      <c r="H93">
        <v>200</v>
      </c>
      <c r="I93" s="1"/>
    </row>
    <row r="94" spans="1:9" x14ac:dyDescent="0.25">
      <c r="A94" t="s">
        <v>189</v>
      </c>
      <c r="B94" t="s">
        <v>190</v>
      </c>
      <c r="C94">
        <v>46.2</v>
      </c>
      <c r="D94">
        <f t="shared" si="4"/>
        <v>48.048000000000002</v>
      </c>
      <c r="E94">
        <f t="shared" si="5"/>
        <v>67.267200000000003</v>
      </c>
      <c r="F94">
        <f t="shared" si="6"/>
        <v>4.851</v>
      </c>
      <c r="G94">
        <f t="shared" si="7"/>
        <v>72.118200000000002</v>
      </c>
      <c r="H94">
        <v>250</v>
      </c>
      <c r="I94" s="1"/>
    </row>
    <row r="95" spans="1:9" x14ac:dyDescent="0.25">
      <c r="A95" t="s">
        <v>191</v>
      </c>
      <c r="B95" t="s">
        <v>192</v>
      </c>
      <c r="C95">
        <v>57.75</v>
      </c>
      <c r="D95">
        <f t="shared" si="4"/>
        <v>60.06</v>
      </c>
      <c r="E95">
        <f t="shared" si="5"/>
        <v>84.084000000000003</v>
      </c>
      <c r="F95">
        <f t="shared" si="6"/>
        <v>6.0637499999999998</v>
      </c>
      <c r="G95">
        <f t="shared" si="7"/>
        <v>90.147750000000002</v>
      </c>
      <c r="H95">
        <v>200</v>
      </c>
      <c r="I95" s="1"/>
    </row>
    <row r="96" spans="1:9" x14ac:dyDescent="0.25">
      <c r="A96" t="s">
        <v>193</v>
      </c>
      <c r="B96" t="s">
        <v>194</v>
      </c>
      <c r="C96">
        <v>77.38</v>
      </c>
      <c r="D96">
        <f t="shared" si="4"/>
        <v>80.475200000000001</v>
      </c>
      <c r="E96">
        <f t="shared" si="5"/>
        <v>112.66528</v>
      </c>
      <c r="F96">
        <f t="shared" si="6"/>
        <v>8.1248999999999985</v>
      </c>
      <c r="G96">
        <f t="shared" si="7"/>
        <v>120.79017999999999</v>
      </c>
      <c r="H96">
        <v>200</v>
      </c>
      <c r="I96" s="1"/>
    </row>
    <row r="97" spans="1:9" x14ac:dyDescent="0.25">
      <c r="A97" t="s">
        <v>195</v>
      </c>
      <c r="B97" t="s">
        <v>196</v>
      </c>
      <c r="C97">
        <v>95.86</v>
      </c>
      <c r="D97">
        <f t="shared" si="4"/>
        <v>99.694400000000002</v>
      </c>
      <c r="E97">
        <f t="shared" si="5"/>
        <v>139.57216</v>
      </c>
      <c r="F97">
        <f t="shared" si="6"/>
        <v>10.065299999999999</v>
      </c>
      <c r="G97">
        <f t="shared" si="7"/>
        <v>149.63746</v>
      </c>
      <c r="H97">
        <v>200</v>
      </c>
      <c r="I97" s="1"/>
    </row>
    <row r="98" spans="1:9" x14ac:dyDescent="0.25">
      <c r="A98" t="s">
        <v>197</v>
      </c>
      <c r="B98" t="s">
        <v>198</v>
      </c>
      <c r="C98">
        <v>20.79</v>
      </c>
      <c r="D98">
        <f t="shared" si="4"/>
        <v>21.621600000000001</v>
      </c>
      <c r="E98">
        <f t="shared" si="5"/>
        <v>30.270240000000001</v>
      </c>
      <c r="F98">
        <f t="shared" si="6"/>
        <v>2.1829499999999999</v>
      </c>
      <c r="G98">
        <f t="shared" si="7"/>
        <v>32.453189999999999</v>
      </c>
      <c r="H98">
        <v>100</v>
      </c>
      <c r="I98" s="1"/>
    </row>
    <row r="99" spans="1:9" x14ac:dyDescent="0.25">
      <c r="A99" t="s">
        <v>199</v>
      </c>
      <c r="B99" t="s">
        <v>200</v>
      </c>
      <c r="C99">
        <v>57.75</v>
      </c>
      <c r="D99">
        <f t="shared" si="4"/>
        <v>60.06</v>
      </c>
      <c r="E99">
        <f t="shared" si="5"/>
        <v>84.084000000000003</v>
      </c>
      <c r="F99">
        <f t="shared" si="6"/>
        <v>6.0637499999999998</v>
      </c>
      <c r="G99">
        <f t="shared" si="7"/>
        <v>90.147750000000002</v>
      </c>
      <c r="H99">
        <v>250</v>
      </c>
      <c r="I99" s="1"/>
    </row>
    <row r="100" spans="1:9" x14ac:dyDescent="0.25">
      <c r="A100" t="s">
        <v>201</v>
      </c>
      <c r="B100" t="s">
        <v>202</v>
      </c>
      <c r="C100">
        <v>75.069999999999993</v>
      </c>
      <c r="D100">
        <f t="shared" si="4"/>
        <v>78.072799999999987</v>
      </c>
      <c r="E100">
        <f t="shared" si="5"/>
        <v>109.30191999999998</v>
      </c>
      <c r="F100">
        <f t="shared" si="6"/>
        <v>7.8823499999999989</v>
      </c>
      <c r="G100">
        <f t="shared" si="7"/>
        <v>117.18426999999998</v>
      </c>
      <c r="H100">
        <v>100</v>
      </c>
      <c r="I100" s="1"/>
    </row>
    <row r="101" spans="1:9" x14ac:dyDescent="0.25">
      <c r="A101" t="s">
        <v>203</v>
      </c>
      <c r="B101" t="s">
        <v>204</v>
      </c>
      <c r="C101">
        <v>88</v>
      </c>
      <c r="D101">
        <f t="shared" si="4"/>
        <v>91.52</v>
      </c>
      <c r="E101">
        <f t="shared" si="5"/>
        <v>128.12799999999999</v>
      </c>
      <c r="F101">
        <f t="shared" si="6"/>
        <v>9.24</v>
      </c>
      <c r="G101">
        <f t="shared" si="7"/>
        <v>137.36799999999999</v>
      </c>
      <c r="H101">
        <v>100</v>
      </c>
      <c r="I101" s="1"/>
    </row>
    <row r="102" spans="1:9" x14ac:dyDescent="0.25">
      <c r="A102" t="s">
        <v>205</v>
      </c>
      <c r="B102" t="s">
        <v>206</v>
      </c>
      <c r="C102">
        <v>103.95</v>
      </c>
      <c r="D102">
        <f t="shared" si="4"/>
        <v>108.108</v>
      </c>
      <c r="E102">
        <f t="shared" si="5"/>
        <v>151.35120000000001</v>
      </c>
      <c r="F102">
        <f t="shared" si="6"/>
        <v>10.91475</v>
      </c>
      <c r="G102">
        <f t="shared" si="7"/>
        <v>162.26595</v>
      </c>
      <c r="H102">
        <v>100</v>
      </c>
      <c r="I102" s="1"/>
    </row>
    <row r="103" spans="1:9" x14ac:dyDescent="0.25">
      <c r="A103" t="s">
        <v>207</v>
      </c>
      <c r="B103" t="s">
        <v>208</v>
      </c>
      <c r="C103">
        <v>100.48</v>
      </c>
      <c r="D103">
        <f t="shared" si="4"/>
        <v>104.4992</v>
      </c>
      <c r="E103">
        <f t="shared" si="5"/>
        <v>146.29888</v>
      </c>
      <c r="F103">
        <f t="shared" si="6"/>
        <v>10.5504</v>
      </c>
      <c r="G103">
        <f t="shared" si="7"/>
        <v>156.84927999999999</v>
      </c>
      <c r="H103">
        <v>100</v>
      </c>
      <c r="I103" s="1"/>
    </row>
    <row r="104" spans="1:9" x14ac:dyDescent="0.25">
      <c r="A104" t="s">
        <v>209</v>
      </c>
      <c r="B104" t="s">
        <v>210</v>
      </c>
      <c r="C104">
        <v>121.27</v>
      </c>
      <c r="D104">
        <f t="shared" si="4"/>
        <v>126.1208</v>
      </c>
      <c r="E104">
        <f t="shared" si="5"/>
        <v>176.56912</v>
      </c>
      <c r="F104">
        <f t="shared" si="6"/>
        <v>12.73335</v>
      </c>
      <c r="G104">
        <f t="shared" si="7"/>
        <v>189.30247</v>
      </c>
      <c r="H104">
        <v>100</v>
      </c>
      <c r="I104" s="1"/>
    </row>
    <row r="105" spans="1:9" x14ac:dyDescent="0.25">
      <c r="A105" t="s">
        <v>211</v>
      </c>
      <c r="B105" t="s">
        <v>212</v>
      </c>
      <c r="C105">
        <v>135.13</v>
      </c>
      <c r="D105">
        <f t="shared" si="4"/>
        <v>140.5352</v>
      </c>
      <c r="E105">
        <f t="shared" si="5"/>
        <v>196.74928</v>
      </c>
      <c r="F105">
        <f t="shared" si="6"/>
        <v>14.188649999999999</v>
      </c>
      <c r="G105">
        <f t="shared" si="7"/>
        <v>210.93792999999999</v>
      </c>
      <c r="H105">
        <v>100</v>
      </c>
      <c r="I105" s="1"/>
    </row>
    <row r="106" spans="1:9" x14ac:dyDescent="0.25">
      <c r="A106" t="s">
        <v>213</v>
      </c>
      <c r="B106" t="s">
        <v>214</v>
      </c>
      <c r="C106">
        <v>15</v>
      </c>
      <c r="D106">
        <f t="shared" si="4"/>
        <v>15.6</v>
      </c>
      <c r="E106">
        <f t="shared" si="5"/>
        <v>21.84</v>
      </c>
      <c r="F106">
        <f t="shared" si="6"/>
        <v>1.575</v>
      </c>
      <c r="G106">
        <f t="shared" si="7"/>
        <v>23.414999999999999</v>
      </c>
      <c r="H106">
        <v>100</v>
      </c>
      <c r="I106" s="1"/>
    </row>
    <row r="107" spans="1:9" x14ac:dyDescent="0.25">
      <c r="A107" t="s">
        <v>215</v>
      </c>
      <c r="B107" t="s">
        <v>216</v>
      </c>
      <c r="C107">
        <v>20</v>
      </c>
      <c r="D107">
        <f t="shared" si="4"/>
        <v>20.8</v>
      </c>
      <c r="E107">
        <f t="shared" si="5"/>
        <v>29.12</v>
      </c>
      <c r="F107">
        <f t="shared" si="6"/>
        <v>2.1</v>
      </c>
      <c r="G107">
        <f t="shared" si="7"/>
        <v>31.220000000000002</v>
      </c>
      <c r="H107">
        <v>1000</v>
      </c>
      <c r="I107" s="1"/>
    </row>
    <row r="108" spans="1:9" x14ac:dyDescent="0.25">
      <c r="A108" t="s">
        <v>217</v>
      </c>
      <c r="B108" t="s">
        <v>218</v>
      </c>
      <c r="C108">
        <v>15</v>
      </c>
      <c r="D108">
        <f t="shared" si="4"/>
        <v>15.6</v>
      </c>
      <c r="E108">
        <f t="shared" si="5"/>
        <v>21.84</v>
      </c>
      <c r="F108">
        <f t="shared" si="6"/>
        <v>1.575</v>
      </c>
      <c r="G108">
        <f t="shared" si="7"/>
        <v>23.414999999999999</v>
      </c>
      <c r="H108">
        <v>500</v>
      </c>
      <c r="I108" s="1"/>
    </row>
    <row r="109" spans="1:9" x14ac:dyDescent="0.25">
      <c r="A109" t="s">
        <v>219</v>
      </c>
      <c r="B109" t="s">
        <v>220</v>
      </c>
      <c r="C109">
        <v>20</v>
      </c>
      <c r="D109">
        <f t="shared" si="4"/>
        <v>20.8</v>
      </c>
      <c r="E109">
        <f t="shared" si="5"/>
        <v>29.12</v>
      </c>
      <c r="F109">
        <f t="shared" si="6"/>
        <v>2.1</v>
      </c>
      <c r="G109">
        <f t="shared" si="7"/>
        <v>31.220000000000002</v>
      </c>
      <c r="H109">
        <v>1000</v>
      </c>
      <c r="I109" s="1"/>
    </row>
    <row r="110" spans="1:9" x14ac:dyDescent="0.25">
      <c r="A110" t="s">
        <v>221</v>
      </c>
      <c r="B110" t="s">
        <v>222</v>
      </c>
      <c r="C110">
        <v>20</v>
      </c>
      <c r="D110">
        <f t="shared" si="4"/>
        <v>20.8</v>
      </c>
      <c r="E110">
        <f t="shared" si="5"/>
        <v>29.12</v>
      </c>
      <c r="F110">
        <f t="shared" si="6"/>
        <v>2.1</v>
      </c>
      <c r="G110">
        <f t="shared" si="7"/>
        <v>31.220000000000002</v>
      </c>
      <c r="H110">
        <v>1000</v>
      </c>
      <c r="I110" s="1"/>
    </row>
    <row r="111" spans="1:9" x14ac:dyDescent="0.25">
      <c r="A111" t="s">
        <v>223</v>
      </c>
      <c r="B111" t="s">
        <v>224</v>
      </c>
      <c r="C111">
        <v>30</v>
      </c>
      <c r="D111">
        <f t="shared" si="4"/>
        <v>31.2</v>
      </c>
      <c r="E111">
        <f t="shared" si="5"/>
        <v>43.68</v>
      </c>
      <c r="F111">
        <f t="shared" si="6"/>
        <v>3.15</v>
      </c>
      <c r="G111">
        <f t="shared" si="7"/>
        <v>46.83</v>
      </c>
      <c r="H111">
        <v>1000</v>
      </c>
      <c r="I111" s="1"/>
    </row>
    <row r="112" spans="1:9" x14ac:dyDescent="0.25">
      <c r="A112" t="s">
        <v>225</v>
      </c>
      <c r="B112" t="s">
        <v>226</v>
      </c>
      <c r="C112">
        <v>35</v>
      </c>
      <c r="D112">
        <f t="shared" si="4"/>
        <v>36.4</v>
      </c>
      <c r="E112">
        <f t="shared" si="5"/>
        <v>50.96</v>
      </c>
      <c r="F112">
        <f t="shared" si="6"/>
        <v>3.6749999999999998</v>
      </c>
      <c r="G112">
        <f t="shared" si="7"/>
        <v>54.634999999999998</v>
      </c>
      <c r="H112">
        <v>1000</v>
      </c>
      <c r="I112" s="1"/>
    </row>
    <row r="113" spans="1:9" x14ac:dyDescent="0.25">
      <c r="A113" t="s">
        <v>227</v>
      </c>
      <c r="B113" t="s">
        <v>228</v>
      </c>
      <c r="C113">
        <v>20</v>
      </c>
      <c r="D113">
        <f t="shared" si="4"/>
        <v>20.8</v>
      </c>
      <c r="E113">
        <f t="shared" si="5"/>
        <v>29.12</v>
      </c>
      <c r="F113">
        <f t="shared" si="6"/>
        <v>2.1</v>
      </c>
      <c r="G113">
        <f t="shared" si="7"/>
        <v>31.220000000000002</v>
      </c>
      <c r="H113">
        <v>200</v>
      </c>
      <c r="I113" s="1"/>
    </row>
    <row r="114" spans="1:9" x14ac:dyDescent="0.25">
      <c r="A114" t="s">
        <v>229</v>
      </c>
      <c r="B114" t="s">
        <v>230</v>
      </c>
      <c r="C114">
        <v>10</v>
      </c>
      <c r="D114">
        <f t="shared" si="4"/>
        <v>10.4</v>
      </c>
      <c r="E114">
        <f t="shared" si="5"/>
        <v>14.56</v>
      </c>
      <c r="F114">
        <f t="shared" si="6"/>
        <v>1.05</v>
      </c>
      <c r="G114">
        <f t="shared" si="7"/>
        <v>15.610000000000001</v>
      </c>
      <c r="H114">
        <v>1000</v>
      </c>
      <c r="I114" s="1"/>
    </row>
    <row r="115" spans="1:9" x14ac:dyDescent="0.25">
      <c r="A115" t="s">
        <v>231</v>
      </c>
      <c r="B115" t="s">
        <v>232</v>
      </c>
      <c r="C115">
        <v>18</v>
      </c>
      <c r="D115">
        <f t="shared" si="4"/>
        <v>18.72</v>
      </c>
      <c r="E115">
        <f t="shared" si="5"/>
        <v>26.207999999999998</v>
      </c>
      <c r="F115">
        <f t="shared" si="6"/>
        <v>1.89</v>
      </c>
      <c r="G115">
        <f t="shared" si="7"/>
        <v>28.097999999999999</v>
      </c>
      <c r="H115">
        <v>1000</v>
      </c>
      <c r="I115" s="1"/>
    </row>
    <row r="116" spans="1:9" x14ac:dyDescent="0.25">
      <c r="A116" t="s">
        <v>233</v>
      </c>
      <c r="B116" t="s">
        <v>234</v>
      </c>
      <c r="C116">
        <v>15</v>
      </c>
      <c r="D116">
        <f t="shared" si="4"/>
        <v>15.6</v>
      </c>
      <c r="E116">
        <f t="shared" si="5"/>
        <v>21.84</v>
      </c>
      <c r="F116">
        <f t="shared" si="6"/>
        <v>1.575</v>
      </c>
      <c r="G116">
        <f t="shared" si="7"/>
        <v>23.414999999999999</v>
      </c>
      <c r="H116">
        <v>1000</v>
      </c>
      <c r="I116" s="1"/>
    </row>
    <row r="117" spans="1:9" x14ac:dyDescent="0.25">
      <c r="A117" t="s">
        <v>235</v>
      </c>
      <c r="B117" t="s">
        <v>236</v>
      </c>
      <c r="C117">
        <v>12</v>
      </c>
      <c r="D117">
        <f t="shared" si="4"/>
        <v>12.48</v>
      </c>
      <c r="E117">
        <f t="shared" si="5"/>
        <v>17.472000000000001</v>
      </c>
      <c r="F117">
        <f t="shared" si="6"/>
        <v>1.26</v>
      </c>
      <c r="G117">
        <f t="shared" si="7"/>
        <v>18.732000000000003</v>
      </c>
      <c r="H117">
        <v>1000</v>
      </c>
      <c r="I117" s="1"/>
    </row>
    <row r="118" spans="1:9" x14ac:dyDescent="0.25">
      <c r="A118" t="s">
        <v>237</v>
      </c>
      <c r="B118" t="s">
        <v>238</v>
      </c>
      <c r="C118">
        <v>12</v>
      </c>
      <c r="D118">
        <f t="shared" si="4"/>
        <v>12.48</v>
      </c>
      <c r="E118">
        <f t="shared" si="5"/>
        <v>17.472000000000001</v>
      </c>
      <c r="F118">
        <f t="shared" si="6"/>
        <v>1.26</v>
      </c>
      <c r="G118">
        <f t="shared" si="7"/>
        <v>18.732000000000003</v>
      </c>
      <c r="H118">
        <v>1000</v>
      </c>
      <c r="I118" s="1"/>
    </row>
    <row r="119" spans="1:9" x14ac:dyDescent="0.25">
      <c r="A119" t="s">
        <v>239</v>
      </c>
      <c r="B119" t="s">
        <v>240</v>
      </c>
      <c r="C119">
        <v>14</v>
      </c>
      <c r="D119">
        <f t="shared" si="4"/>
        <v>14.56</v>
      </c>
      <c r="E119">
        <f t="shared" si="5"/>
        <v>20.384</v>
      </c>
      <c r="F119">
        <f t="shared" si="6"/>
        <v>1.47</v>
      </c>
      <c r="G119">
        <f t="shared" si="7"/>
        <v>21.853999999999999</v>
      </c>
      <c r="H119">
        <v>1000</v>
      </c>
      <c r="I119" s="1"/>
    </row>
    <row r="120" spans="1:9" x14ac:dyDescent="0.25">
      <c r="A120" t="s">
        <v>241</v>
      </c>
      <c r="B120" t="s">
        <v>242</v>
      </c>
      <c r="C120">
        <v>10</v>
      </c>
      <c r="D120">
        <f t="shared" si="4"/>
        <v>10.4</v>
      </c>
      <c r="E120">
        <f t="shared" si="5"/>
        <v>14.56</v>
      </c>
      <c r="F120">
        <f t="shared" si="6"/>
        <v>1.05</v>
      </c>
      <c r="G120">
        <f t="shared" si="7"/>
        <v>15.610000000000001</v>
      </c>
      <c r="H120">
        <v>1000</v>
      </c>
      <c r="I120" s="1"/>
    </row>
    <row r="121" spans="1:9" x14ac:dyDescent="0.25">
      <c r="A121" t="s">
        <v>243</v>
      </c>
      <c r="B121" t="s">
        <v>244</v>
      </c>
      <c r="C121">
        <v>10</v>
      </c>
      <c r="D121">
        <f t="shared" si="4"/>
        <v>10.4</v>
      </c>
      <c r="E121">
        <f t="shared" si="5"/>
        <v>14.56</v>
      </c>
      <c r="F121">
        <f t="shared" si="6"/>
        <v>1.05</v>
      </c>
      <c r="G121">
        <f t="shared" si="7"/>
        <v>15.610000000000001</v>
      </c>
      <c r="H121">
        <v>1000</v>
      </c>
      <c r="I121" s="1"/>
    </row>
    <row r="122" spans="1:9" x14ac:dyDescent="0.25">
      <c r="A122" t="s">
        <v>245</v>
      </c>
      <c r="B122" t="s">
        <v>246</v>
      </c>
      <c r="C122">
        <v>15</v>
      </c>
      <c r="D122">
        <f t="shared" si="4"/>
        <v>15.6</v>
      </c>
      <c r="E122">
        <f t="shared" si="5"/>
        <v>21.84</v>
      </c>
      <c r="F122">
        <f t="shared" si="6"/>
        <v>1.575</v>
      </c>
      <c r="G122">
        <f t="shared" si="7"/>
        <v>23.414999999999999</v>
      </c>
      <c r="H122">
        <v>1000</v>
      </c>
      <c r="I122" s="1"/>
    </row>
    <row r="123" spans="1:9" x14ac:dyDescent="0.25">
      <c r="A123" t="s">
        <v>247</v>
      </c>
      <c r="B123" t="s">
        <v>248</v>
      </c>
      <c r="C123">
        <v>15</v>
      </c>
      <c r="D123">
        <f t="shared" si="4"/>
        <v>15.6</v>
      </c>
      <c r="E123">
        <f t="shared" si="5"/>
        <v>21.84</v>
      </c>
      <c r="F123">
        <f t="shared" si="6"/>
        <v>1.575</v>
      </c>
      <c r="G123">
        <f t="shared" si="7"/>
        <v>23.414999999999999</v>
      </c>
      <c r="H123">
        <v>1000</v>
      </c>
      <c r="I123" s="1"/>
    </row>
    <row r="124" spans="1:9" x14ac:dyDescent="0.25">
      <c r="A124" t="s">
        <v>249</v>
      </c>
      <c r="B124" t="s">
        <v>250</v>
      </c>
      <c r="C124">
        <v>14</v>
      </c>
      <c r="D124">
        <f t="shared" si="4"/>
        <v>14.56</v>
      </c>
      <c r="E124">
        <f t="shared" si="5"/>
        <v>20.384</v>
      </c>
      <c r="F124">
        <f t="shared" si="6"/>
        <v>1.47</v>
      </c>
      <c r="G124">
        <f t="shared" si="7"/>
        <v>21.853999999999999</v>
      </c>
      <c r="H124">
        <v>1000</v>
      </c>
      <c r="I124" s="1"/>
    </row>
    <row r="125" spans="1:9" x14ac:dyDescent="0.25">
      <c r="A125" t="s">
        <v>251</v>
      </c>
      <c r="B125" t="s">
        <v>252</v>
      </c>
      <c r="C125">
        <v>18</v>
      </c>
      <c r="D125">
        <f t="shared" si="4"/>
        <v>18.72</v>
      </c>
      <c r="E125">
        <f t="shared" si="5"/>
        <v>26.207999999999998</v>
      </c>
      <c r="F125">
        <f t="shared" si="6"/>
        <v>1.89</v>
      </c>
      <c r="G125">
        <f t="shared" si="7"/>
        <v>28.097999999999999</v>
      </c>
      <c r="H125">
        <v>1000</v>
      </c>
      <c r="I125" s="1"/>
    </row>
    <row r="126" spans="1:9" x14ac:dyDescent="0.25">
      <c r="A126" t="s">
        <v>253</v>
      </c>
      <c r="B126" t="s">
        <v>254</v>
      </c>
      <c r="C126">
        <v>30</v>
      </c>
      <c r="D126">
        <f t="shared" si="4"/>
        <v>31.2</v>
      </c>
      <c r="E126">
        <f t="shared" si="5"/>
        <v>43.68</v>
      </c>
      <c r="F126">
        <f t="shared" si="6"/>
        <v>3.15</v>
      </c>
      <c r="G126">
        <f t="shared" si="7"/>
        <v>46.83</v>
      </c>
      <c r="H126">
        <v>500</v>
      </c>
      <c r="I126" s="1"/>
    </row>
    <row r="127" spans="1:9" x14ac:dyDescent="0.25">
      <c r="A127" t="s">
        <v>255</v>
      </c>
      <c r="B127" t="s">
        <v>256</v>
      </c>
      <c r="C127">
        <v>35</v>
      </c>
      <c r="D127">
        <f t="shared" si="4"/>
        <v>36.4</v>
      </c>
      <c r="E127">
        <f t="shared" si="5"/>
        <v>50.96</v>
      </c>
      <c r="F127">
        <f t="shared" si="6"/>
        <v>3.6749999999999998</v>
      </c>
      <c r="G127">
        <f t="shared" si="7"/>
        <v>54.634999999999998</v>
      </c>
      <c r="H127">
        <v>500</v>
      </c>
      <c r="I127" s="1"/>
    </row>
    <row r="128" spans="1:9" x14ac:dyDescent="0.25">
      <c r="A128" t="s">
        <v>257</v>
      </c>
      <c r="B128" t="s">
        <v>258</v>
      </c>
      <c r="C128">
        <v>25</v>
      </c>
      <c r="D128">
        <f t="shared" si="4"/>
        <v>26</v>
      </c>
      <c r="E128">
        <f t="shared" si="5"/>
        <v>36.4</v>
      </c>
      <c r="F128">
        <f t="shared" si="6"/>
        <v>2.625</v>
      </c>
      <c r="G128">
        <f t="shared" si="7"/>
        <v>39.024999999999999</v>
      </c>
      <c r="H128">
        <v>500</v>
      </c>
      <c r="I128" s="1"/>
    </row>
    <row r="129" spans="1:9" x14ac:dyDescent="0.25">
      <c r="A129" t="s">
        <v>259</v>
      </c>
      <c r="B129" t="s">
        <v>260</v>
      </c>
      <c r="C129">
        <v>35</v>
      </c>
      <c r="D129">
        <f t="shared" si="4"/>
        <v>36.4</v>
      </c>
      <c r="E129">
        <f t="shared" si="5"/>
        <v>50.96</v>
      </c>
      <c r="F129">
        <f t="shared" si="6"/>
        <v>3.6749999999999998</v>
      </c>
      <c r="G129">
        <f t="shared" si="7"/>
        <v>54.634999999999998</v>
      </c>
      <c r="H129">
        <v>1000</v>
      </c>
      <c r="I129" s="1"/>
    </row>
    <row r="130" spans="1:9" x14ac:dyDescent="0.25">
      <c r="A130" t="s">
        <v>261</v>
      </c>
      <c r="B130" t="s">
        <v>262</v>
      </c>
      <c r="C130">
        <v>20</v>
      </c>
      <c r="D130">
        <f t="shared" si="4"/>
        <v>20.8</v>
      </c>
      <c r="E130">
        <f t="shared" si="5"/>
        <v>29.12</v>
      </c>
      <c r="F130">
        <f t="shared" si="6"/>
        <v>2.1</v>
      </c>
      <c r="G130">
        <f t="shared" si="7"/>
        <v>31.220000000000002</v>
      </c>
      <c r="H130">
        <v>500</v>
      </c>
      <c r="I130" s="1"/>
    </row>
    <row r="131" spans="1:9" x14ac:dyDescent="0.25">
      <c r="A131" t="s">
        <v>263</v>
      </c>
      <c r="B131" t="s">
        <v>264</v>
      </c>
      <c r="C131">
        <v>25</v>
      </c>
      <c r="D131">
        <f t="shared" si="4"/>
        <v>26</v>
      </c>
      <c r="E131">
        <f t="shared" si="5"/>
        <v>36.4</v>
      </c>
      <c r="F131">
        <f t="shared" si="6"/>
        <v>2.625</v>
      </c>
      <c r="G131">
        <f t="shared" si="7"/>
        <v>39.024999999999999</v>
      </c>
      <c r="H131">
        <v>200</v>
      </c>
      <c r="I131" s="1"/>
    </row>
    <row r="132" spans="1:9" x14ac:dyDescent="0.25">
      <c r="A132" t="s">
        <v>265</v>
      </c>
      <c r="B132" t="s">
        <v>266</v>
      </c>
      <c r="C132">
        <v>28</v>
      </c>
      <c r="D132">
        <f t="shared" ref="D132:D195" si="8">C132+(C132*$D$2)</f>
        <v>29.12</v>
      </c>
      <c r="E132">
        <f t="shared" ref="E132:E195" si="9">D132+(D132*$E$2)</f>
        <v>40.768000000000001</v>
      </c>
      <c r="F132">
        <f t="shared" ref="F132:F195" si="10">C132*$F$2</f>
        <v>2.94</v>
      </c>
      <c r="G132">
        <f t="shared" ref="G132:G195" si="11">E132+F132</f>
        <v>43.707999999999998</v>
      </c>
      <c r="H132">
        <v>200</v>
      </c>
      <c r="I132" s="1"/>
    </row>
    <row r="133" spans="1:9" x14ac:dyDescent="0.25">
      <c r="A133" t="s">
        <v>267</v>
      </c>
      <c r="B133" t="s">
        <v>268</v>
      </c>
      <c r="C133">
        <v>20</v>
      </c>
      <c r="D133">
        <f t="shared" si="8"/>
        <v>20.8</v>
      </c>
      <c r="E133">
        <f t="shared" si="9"/>
        <v>29.12</v>
      </c>
      <c r="F133">
        <f t="shared" si="10"/>
        <v>2.1</v>
      </c>
      <c r="G133">
        <f t="shared" si="11"/>
        <v>31.220000000000002</v>
      </c>
      <c r="H133">
        <v>200</v>
      </c>
      <c r="I133" s="1"/>
    </row>
    <row r="134" spans="1:9" x14ac:dyDescent="0.25">
      <c r="A134" t="s">
        <v>269</v>
      </c>
      <c r="B134" t="s">
        <v>270</v>
      </c>
      <c r="C134">
        <v>25</v>
      </c>
      <c r="D134">
        <f t="shared" si="8"/>
        <v>26</v>
      </c>
      <c r="E134">
        <f t="shared" si="9"/>
        <v>36.4</v>
      </c>
      <c r="F134">
        <f t="shared" si="10"/>
        <v>2.625</v>
      </c>
      <c r="G134">
        <f t="shared" si="11"/>
        <v>39.024999999999999</v>
      </c>
      <c r="H134">
        <v>200</v>
      </c>
      <c r="I134" s="1"/>
    </row>
    <row r="135" spans="1:9" x14ac:dyDescent="0.25">
      <c r="A135" t="s">
        <v>271</v>
      </c>
      <c r="B135" t="s">
        <v>272</v>
      </c>
      <c r="C135">
        <v>30</v>
      </c>
      <c r="D135">
        <f t="shared" si="8"/>
        <v>31.2</v>
      </c>
      <c r="E135">
        <f t="shared" si="9"/>
        <v>43.68</v>
      </c>
      <c r="F135">
        <f t="shared" si="10"/>
        <v>3.15</v>
      </c>
      <c r="G135">
        <f t="shared" si="11"/>
        <v>46.83</v>
      </c>
      <c r="H135">
        <v>200</v>
      </c>
      <c r="I135" s="1"/>
    </row>
    <row r="136" spans="1:9" x14ac:dyDescent="0.25">
      <c r="A136" t="s">
        <v>273</v>
      </c>
      <c r="B136" t="s">
        <v>274</v>
      </c>
      <c r="C136">
        <v>30</v>
      </c>
      <c r="D136">
        <f t="shared" si="8"/>
        <v>31.2</v>
      </c>
      <c r="E136">
        <f t="shared" si="9"/>
        <v>43.68</v>
      </c>
      <c r="F136">
        <f t="shared" si="10"/>
        <v>3.15</v>
      </c>
      <c r="G136">
        <f t="shared" si="11"/>
        <v>46.83</v>
      </c>
      <c r="H136">
        <v>200</v>
      </c>
      <c r="I136" s="1"/>
    </row>
    <row r="137" spans="1:9" x14ac:dyDescent="0.25">
      <c r="A137" t="s">
        <v>275</v>
      </c>
      <c r="B137" t="s">
        <v>276</v>
      </c>
      <c r="C137">
        <v>30</v>
      </c>
      <c r="D137">
        <f t="shared" si="8"/>
        <v>31.2</v>
      </c>
      <c r="E137">
        <f t="shared" si="9"/>
        <v>43.68</v>
      </c>
      <c r="F137">
        <f t="shared" si="10"/>
        <v>3.15</v>
      </c>
      <c r="G137">
        <f t="shared" si="11"/>
        <v>46.83</v>
      </c>
      <c r="H137">
        <v>200</v>
      </c>
      <c r="I137" s="1"/>
    </row>
    <row r="138" spans="1:9" x14ac:dyDescent="0.25">
      <c r="A138" t="s">
        <v>277</v>
      </c>
      <c r="B138" t="s">
        <v>278</v>
      </c>
      <c r="C138">
        <v>30</v>
      </c>
      <c r="D138">
        <f t="shared" si="8"/>
        <v>31.2</v>
      </c>
      <c r="E138">
        <f t="shared" si="9"/>
        <v>43.68</v>
      </c>
      <c r="F138">
        <f t="shared" si="10"/>
        <v>3.15</v>
      </c>
      <c r="G138">
        <f t="shared" si="11"/>
        <v>46.83</v>
      </c>
      <c r="H138">
        <v>200</v>
      </c>
      <c r="I138" s="1"/>
    </row>
    <row r="139" spans="1:9" x14ac:dyDescent="0.25">
      <c r="A139" t="s">
        <v>279</v>
      </c>
      <c r="B139" t="s">
        <v>280</v>
      </c>
      <c r="C139">
        <v>45</v>
      </c>
      <c r="D139">
        <f t="shared" si="8"/>
        <v>46.8</v>
      </c>
      <c r="E139">
        <f t="shared" si="9"/>
        <v>65.52</v>
      </c>
      <c r="F139">
        <f t="shared" si="10"/>
        <v>4.7249999999999996</v>
      </c>
      <c r="G139">
        <f t="shared" si="11"/>
        <v>70.24499999999999</v>
      </c>
      <c r="H139">
        <v>200</v>
      </c>
      <c r="I139" s="1"/>
    </row>
    <row r="140" spans="1:9" x14ac:dyDescent="0.25">
      <c r="A140" t="s">
        <v>281</v>
      </c>
      <c r="B140" t="s">
        <v>282</v>
      </c>
      <c r="C140">
        <v>80</v>
      </c>
      <c r="D140">
        <f t="shared" si="8"/>
        <v>83.2</v>
      </c>
      <c r="E140">
        <f t="shared" si="9"/>
        <v>116.48</v>
      </c>
      <c r="F140">
        <f t="shared" si="10"/>
        <v>8.4</v>
      </c>
      <c r="G140">
        <f t="shared" si="11"/>
        <v>124.88000000000001</v>
      </c>
      <c r="H140">
        <v>200</v>
      </c>
      <c r="I140" s="1"/>
    </row>
    <row r="141" spans="1:9" x14ac:dyDescent="0.25">
      <c r="A141" t="s">
        <v>283</v>
      </c>
      <c r="B141" t="s">
        <v>284</v>
      </c>
      <c r="C141">
        <v>80</v>
      </c>
      <c r="D141">
        <f t="shared" si="8"/>
        <v>83.2</v>
      </c>
      <c r="E141">
        <f t="shared" si="9"/>
        <v>116.48</v>
      </c>
      <c r="F141">
        <f t="shared" si="10"/>
        <v>8.4</v>
      </c>
      <c r="G141">
        <f t="shared" si="11"/>
        <v>124.88000000000001</v>
      </c>
      <c r="H141">
        <v>100</v>
      </c>
      <c r="I141" s="1"/>
    </row>
    <row r="142" spans="1:9" x14ac:dyDescent="0.25">
      <c r="A142" t="s">
        <v>285</v>
      </c>
      <c r="B142" t="s">
        <v>286</v>
      </c>
      <c r="C142">
        <v>80</v>
      </c>
      <c r="D142">
        <f t="shared" si="8"/>
        <v>83.2</v>
      </c>
      <c r="E142">
        <f t="shared" si="9"/>
        <v>116.48</v>
      </c>
      <c r="F142">
        <f t="shared" si="10"/>
        <v>8.4</v>
      </c>
      <c r="G142">
        <f t="shared" si="11"/>
        <v>124.88000000000001</v>
      </c>
      <c r="H142">
        <v>100</v>
      </c>
      <c r="I142" s="1"/>
    </row>
    <row r="143" spans="1:9" x14ac:dyDescent="0.25">
      <c r="A143" t="s">
        <v>287</v>
      </c>
      <c r="B143" t="s">
        <v>288</v>
      </c>
      <c r="C143">
        <v>130</v>
      </c>
      <c r="D143">
        <f t="shared" si="8"/>
        <v>135.19999999999999</v>
      </c>
      <c r="E143">
        <f t="shared" si="9"/>
        <v>189.27999999999997</v>
      </c>
      <c r="F143">
        <f t="shared" si="10"/>
        <v>13.65</v>
      </c>
      <c r="G143">
        <f t="shared" si="11"/>
        <v>202.92999999999998</v>
      </c>
      <c r="H143">
        <v>100</v>
      </c>
      <c r="I143" s="1"/>
    </row>
    <row r="144" spans="1:9" x14ac:dyDescent="0.25">
      <c r="A144" t="s">
        <v>289</v>
      </c>
      <c r="B144" t="s">
        <v>290</v>
      </c>
      <c r="C144">
        <v>130</v>
      </c>
      <c r="D144">
        <f t="shared" si="8"/>
        <v>135.19999999999999</v>
      </c>
      <c r="E144">
        <f t="shared" si="9"/>
        <v>189.27999999999997</v>
      </c>
      <c r="F144">
        <f t="shared" si="10"/>
        <v>13.65</v>
      </c>
      <c r="G144">
        <f t="shared" si="11"/>
        <v>202.92999999999998</v>
      </c>
      <c r="H144">
        <v>50</v>
      </c>
      <c r="I144" s="1"/>
    </row>
    <row r="145" spans="1:9" x14ac:dyDescent="0.25">
      <c r="A145" t="s">
        <v>291</v>
      </c>
      <c r="B145" t="s">
        <v>292</v>
      </c>
      <c r="C145">
        <v>130</v>
      </c>
      <c r="D145">
        <f t="shared" si="8"/>
        <v>135.19999999999999</v>
      </c>
      <c r="E145">
        <f t="shared" si="9"/>
        <v>189.27999999999997</v>
      </c>
      <c r="F145">
        <f t="shared" si="10"/>
        <v>13.65</v>
      </c>
      <c r="G145">
        <f t="shared" si="11"/>
        <v>202.92999999999998</v>
      </c>
      <c r="H145">
        <v>50</v>
      </c>
      <c r="I145" s="1"/>
    </row>
    <row r="146" spans="1:9" x14ac:dyDescent="0.25">
      <c r="A146" t="s">
        <v>293</v>
      </c>
      <c r="B146" t="s">
        <v>675</v>
      </c>
      <c r="C146">
        <v>3500</v>
      </c>
      <c r="D146">
        <f t="shared" si="8"/>
        <v>3640</v>
      </c>
      <c r="E146">
        <f t="shared" si="9"/>
        <v>5096</v>
      </c>
      <c r="F146">
        <f t="shared" si="10"/>
        <v>367.5</v>
      </c>
      <c r="G146">
        <f t="shared" si="11"/>
        <v>5463.5</v>
      </c>
      <c r="H146">
        <v>50</v>
      </c>
      <c r="I146" s="1"/>
    </row>
    <row r="147" spans="1:9" x14ac:dyDescent="0.25">
      <c r="A147" t="s">
        <v>294</v>
      </c>
      <c r="B147" t="s">
        <v>677</v>
      </c>
      <c r="C147">
        <v>3500</v>
      </c>
      <c r="D147">
        <f t="shared" si="8"/>
        <v>3640</v>
      </c>
      <c r="E147">
        <f t="shared" si="9"/>
        <v>5096</v>
      </c>
      <c r="F147">
        <f t="shared" si="10"/>
        <v>367.5</v>
      </c>
      <c r="G147">
        <f t="shared" si="11"/>
        <v>5463.5</v>
      </c>
      <c r="I147" s="1"/>
    </row>
    <row r="148" spans="1:9" x14ac:dyDescent="0.25">
      <c r="A148" t="s">
        <v>296</v>
      </c>
      <c r="B148" t="s">
        <v>676</v>
      </c>
      <c r="C148">
        <v>3150</v>
      </c>
      <c r="D148">
        <f t="shared" si="8"/>
        <v>3276</v>
      </c>
      <c r="E148">
        <f t="shared" si="9"/>
        <v>4586.3999999999996</v>
      </c>
      <c r="F148">
        <f t="shared" si="10"/>
        <v>330.75</v>
      </c>
      <c r="G148">
        <f t="shared" si="11"/>
        <v>4917.1499999999996</v>
      </c>
      <c r="H148" t="s">
        <v>295</v>
      </c>
      <c r="I148" s="1"/>
    </row>
    <row r="149" spans="1:9" x14ac:dyDescent="0.25">
      <c r="A149" t="s">
        <v>297</v>
      </c>
      <c r="B149" t="s">
        <v>298</v>
      </c>
      <c r="C149">
        <v>3000</v>
      </c>
      <c r="D149">
        <f t="shared" si="8"/>
        <v>3120</v>
      </c>
      <c r="E149">
        <f t="shared" si="9"/>
        <v>4368</v>
      </c>
      <c r="F149">
        <f t="shared" si="10"/>
        <v>315</v>
      </c>
      <c r="G149">
        <f t="shared" si="11"/>
        <v>4683</v>
      </c>
      <c r="H149" t="s">
        <v>295</v>
      </c>
      <c r="I149" s="1"/>
    </row>
    <row r="150" spans="1:9" x14ac:dyDescent="0.25">
      <c r="A150" t="s">
        <v>299</v>
      </c>
      <c r="B150" t="s">
        <v>646</v>
      </c>
      <c r="C150">
        <v>4000</v>
      </c>
      <c r="D150">
        <f t="shared" si="8"/>
        <v>4160</v>
      </c>
      <c r="E150">
        <f t="shared" si="9"/>
        <v>5824</v>
      </c>
      <c r="F150">
        <f t="shared" si="10"/>
        <v>420</v>
      </c>
      <c r="G150">
        <f t="shared" si="11"/>
        <v>6244</v>
      </c>
      <c r="H150" t="s">
        <v>295</v>
      </c>
      <c r="I150" s="1"/>
    </row>
    <row r="151" spans="1:9" x14ac:dyDescent="0.25">
      <c r="A151" t="s">
        <v>301</v>
      </c>
      <c r="B151" t="s">
        <v>302</v>
      </c>
      <c r="C151">
        <v>9.24</v>
      </c>
      <c r="D151">
        <f t="shared" si="8"/>
        <v>9.6096000000000004</v>
      </c>
      <c r="E151">
        <f t="shared" si="9"/>
        <v>13.453440000000001</v>
      </c>
      <c r="F151">
        <f t="shared" si="10"/>
        <v>0.97019999999999995</v>
      </c>
      <c r="G151">
        <f t="shared" si="11"/>
        <v>14.423640000000001</v>
      </c>
      <c r="H151" t="s">
        <v>300</v>
      </c>
      <c r="I151" s="1"/>
    </row>
    <row r="152" spans="1:9" x14ac:dyDescent="0.25">
      <c r="A152" t="s">
        <v>303</v>
      </c>
      <c r="B152" t="s">
        <v>304</v>
      </c>
      <c r="C152">
        <v>9.24</v>
      </c>
      <c r="D152">
        <f t="shared" si="8"/>
        <v>9.6096000000000004</v>
      </c>
      <c r="E152">
        <f t="shared" si="9"/>
        <v>13.453440000000001</v>
      </c>
      <c r="F152">
        <f t="shared" si="10"/>
        <v>0.97019999999999995</v>
      </c>
      <c r="G152">
        <f t="shared" si="11"/>
        <v>14.423640000000001</v>
      </c>
      <c r="I152" s="1"/>
    </row>
    <row r="153" spans="1:9" x14ac:dyDescent="0.25">
      <c r="A153" t="s">
        <v>305</v>
      </c>
      <c r="B153" t="s">
        <v>306</v>
      </c>
      <c r="C153">
        <v>19.170000000000002</v>
      </c>
      <c r="D153">
        <f t="shared" si="8"/>
        <v>19.936800000000002</v>
      </c>
      <c r="E153">
        <f t="shared" si="9"/>
        <v>27.911520000000003</v>
      </c>
      <c r="F153">
        <f t="shared" si="10"/>
        <v>2.0128500000000003</v>
      </c>
      <c r="G153">
        <f t="shared" si="11"/>
        <v>29.924370000000003</v>
      </c>
      <c r="I153" s="1"/>
    </row>
    <row r="154" spans="1:9" x14ac:dyDescent="0.25">
      <c r="A154" t="s">
        <v>307</v>
      </c>
      <c r="B154" t="s">
        <v>308</v>
      </c>
      <c r="C154">
        <v>34.96</v>
      </c>
      <c r="D154">
        <f t="shared" si="8"/>
        <v>36.358400000000003</v>
      </c>
      <c r="E154">
        <f t="shared" si="9"/>
        <v>50.901760000000003</v>
      </c>
      <c r="F154">
        <f t="shared" si="10"/>
        <v>3.6707999999999998</v>
      </c>
      <c r="G154">
        <f t="shared" si="11"/>
        <v>54.572560000000003</v>
      </c>
      <c r="I154" s="1"/>
    </row>
    <row r="155" spans="1:9" x14ac:dyDescent="0.25">
      <c r="A155" t="s">
        <v>309</v>
      </c>
      <c r="B155" t="s">
        <v>310</v>
      </c>
      <c r="C155">
        <v>80.61</v>
      </c>
      <c r="D155">
        <f t="shared" si="8"/>
        <v>83.834400000000002</v>
      </c>
      <c r="E155">
        <f t="shared" si="9"/>
        <v>117.36816</v>
      </c>
      <c r="F155">
        <f t="shared" si="10"/>
        <v>8.4640500000000003</v>
      </c>
      <c r="G155">
        <f t="shared" si="11"/>
        <v>125.83221</v>
      </c>
      <c r="I155" s="1"/>
    </row>
    <row r="156" spans="1:9" x14ac:dyDescent="0.25">
      <c r="A156" t="s">
        <v>311</v>
      </c>
      <c r="B156" t="s">
        <v>312</v>
      </c>
      <c r="C156">
        <v>21.36</v>
      </c>
      <c r="D156">
        <f t="shared" si="8"/>
        <v>22.214399999999998</v>
      </c>
      <c r="E156">
        <f t="shared" si="9"/>
        <v>31.100159999999995</v>
      </c>
      <c r="F156">
        <f t="shared" si="10"/>
        <v>2.2427999999999999</v>
      </c>
      <c r="G156">
        <f t="shared" si="11"/>
        <v>33.342959999999998</v>
      </c>
      <c r="I156" s="1"/>
    </row>
    <row r="157" spans="1:9" x14ac:dyDescent="0.25">
      <c r="A157" t="s">
        <v>313</v>
      </c>
      <c r="B157" t="s">
        <v>314</v>
      </c>
      <c r="C157">
        <v>33.85</v>
      </c>
      <c r="D157">
        <f t="shared" si="8"/>
        <v>35.204000000000001</v>
      </c>
      <c r="E157">
        <f t="shared" si="9"/>
        <v>49.285600000000002</v>
      </c>
      <c r="F157">
        <f t="shared" si="10"/>
        <v>3.5542500000000001</v>
      </c>
      <c r="G157">
        <f t="shared" si="11"/>
        <v>52.839850000000006</v>
      </c>
      <c r="I157" s="1"/>
    </row>
    <row r="158" spans="1:9" x14ac:dyDescent="0.25">
      <c r="A158" t="s">
        <v>315</v>
      </c>
      <c r="B158" t="s">
        <v>316</v>
      </c>
      <c r="C158">
        <v>58.32</v>
      </c>
      <c r="D158">
        <f t="shared" si="8"/>
        <v>60.652799999999999</v>
      </c>
      <c r="E158">
        <f t="shared" si="9"/>
        <v>84.913920000000005</v>
      </c>
      <c r="F158">
        <f t="shared" si="10"/>
        <v>6.1235999999999997</v>
      </c>
      <c r="G158">
        <f t="shared" si="11"/>
        <v>91.037520000000001</v>
      </c>
      <c r="I158" s="1"/>
    </row>
    <row r="159" spans="1:9" x14ac:dyDescent="0.25">
      <c r="A159" t="s">
        <v>317</v>
      </c>
      <c r="B159" t="s">
        <v>318</v>
      </c>
      <c r="C159">
        <v>190.92</v>
      </c>
      <c r="D159">
        <f t="shared" si="8"/>
        <v>198.55679999999998</v>
      </c>
      <c r="E159">
        <f t="shared" si="9"/>
        <v>277.97951999999998</v>
      </c>
      <c r="F159">
        <f t="shared" si="10"/>
        <v>20.046599999999998</v>
      </c>
      <c r="G159">
        <f t="shared" si="11"/>
        <v>298.02611999999999</v>
      </c>
      <c r="I159" s="1"/>
    </row>
    <row r="160" spans="1:9" x14ac:dyDescent="0.25">
      <c r="A160" t="s">
        <v>319</v>
      </c>
      <c r="B160" t="s">
        <v>320</v>
      </c>
      <c r="C160">
        <v>11.78</v>
      </c>
      <c r="D160">
        <f t="shared" si="8"/>
        <v>12.251199999999999</v>
      </c>
      <c r="E160">
        <f t="shared" si="9"/>
        <v>17.151679999999999</v>
      </c>
      <c r="F160">
        <f t="shared" si="10"/>
        <v>1.2368999999999999</v>
      </c>
      <c r="G160">
        <f t="shared" si="11"/>
        <v>18.388579999999997</v>
      </c>
      <c r="I160" s="1"/>
    </row>
    <row r="161" spans="1:9" x14ac:dyDescent="0.25">
      <c r="A161" t="s">
        <v>321</v>
      </c>
      <c r="B161" t="s">
        <v>322</v>
      </c>
      <c r="C161">
        <v>24.13</v>
      </c>
      <c r="D161">
        <f t="shared" si="8"/>
        <v>25.095199999999998</v>
      </c>
      <c r="E161">
        <f t="shared" si="9"/>
        <v>35.133279999999999</v>
      </c>
      <c r="F161">
        <f t="shared" si="10"/>
        <v>2.5336499999999997</v>
      </c>
      <c r="G161">
        <f t="shared" si="11"/>
        <v>37.666930000000001</v>
      </c>
      <c r="I161" s="1"/>
    </row>
    <row r="162" spans="1:9" x14ac:dyDescent="0.25">
      <c r="A162" t="s">
        <v>323</v>
      </c>
      <c r="B162" t="s">
        <v>324</v>
      </c>
      <c r="C162">
        <v>44.12</v>
      </c>
      <c r="D162">
        <f t="shared" si="8"/>
        <v>45.884799999999998</v>
      </c>
      <c r="E162">
        <f t="shared" si="9"/>
        <v>64.238720000000001</v>
      </c>
      <c r="F162">
        <f t="shared" si="10"/>
        <v>4.6325999999999992</v>
      </c>
      <c r="G162">
        <f t="shared" si="11"/>
        <v>68.871319999999997</v>
      </c>
      <c r="I162" s="1"/>
    </row>
    <row r="163" spans="1:9" x14ac:dyDescent="0.25">
      <c r="A163" t="s">
        <v>325</v>
      </c>
      <c r="B163" t="s">
        <v>326</v>
      </c>
      <c r="C163">
        <v>204.2</v>
      </c>
      <c r="D163">
        <f t="shared" si="8"/>
        <v>212.36799999999999</v>
      </c>
      <c r="E163">
        <f t="shared" si="9"/>
        <v>297.3152</v>
      </c>
      <c r="F163">
        <f t="shared" si="10"/>
        <v>21.440999999999999</v>
      </c>
      <c r="G163">
        <f t="shared" si="11"/>
        <v>318.75619999999998</v>
      </c>
      <c r="I163" s="1"/>
    </row>
    <row r="164" spans="1:9" x14ac:dyDescent="0.25">
      <c r="A164" t="s">
        <v>327</v>
      </c>
      <c r="B164" t="s">
        <v>328</v>
      </c>
      <c r="C164">
        <v>5600</v>
      </c>
      <c r="D164">
        <f t="shared" si="8"/>
        <v>5824</v>
      </c>
      <c r="E164">
        <f t="shared" si="9"/>
        <v>8153.6</v>
      </c>
      <c r="F164">
        <f t="shared" si="10"/>
        <v>588</v>
      </c>
      <c r="G164">
        <f t="shared" si="11"/>
        <v>8741.6</v>
      </c>
      <c r="I164" s="1"/>
    </row>
    <row r="165" spans="1:9" x14ac:dyDescent="0.25">
      <c r="A165" t="s">
        <v>329</v>
      </c>
      <c r="B165" t="s">
        <v>330</v>
      </c>
      <c r="C165">
        <v>5780</v>
      </c>
      <c r="D165">
        <f t="shared" si="8"/>
        <v>6011.2</v>
      </c>
      <c r="E165">
        <f t="shared" si="9"/>
        <v>8415.68</v>
      </c>
      <c r="F165">
        <f t="shared" si="10"/>
        <v>606.9</v>
      </c>
      <c r="G165">
        <f t="shared" si="11"/>
        <v>9022.58</v>
      </c>
      <c r="I165" s="1"/>
    </row>
    <row r="166" spans="1:9" x14ac:dyDescent="0.25">
      <c r="A166" t="s">
        <v>331</v>
      </c>
      <c r="B166" t="s">
        <v>332</v>
      </c>
      <c r="C166">
        <v>14180</v>
      </c>
      <c r="D166">
        <f t="shared" si="8"/>
        <v>14747.2</v>
      </c>
      <c r="E166">
        <f t="shared" si="9"/>
        <v>20646.080000000002</v>
      </c>
      <c r="F166">
        <f t="shared" si="10"/>
        <v>1488.8999999999999</v>
      </c>
      <c r="G166">
        <f t="shared" si="11"/>
        <v>22134.980000000003</v>
      </c>
      <c r="I166" s="1"/>
    </row>
    <row r="167" spans="1:9" x14ac:dyDescent="0.25">
      <c r="A167" t="s">
        <v>333</v>
      </c>
      <c r="B167" t="s">
        <v>334</v>
      </c>
      <c r="C167">
        <v>6410</v>
      </c>
      <c r="D167">
        <f t="shared" si="8"/>
        <v>6666.4</v>
      </c>
      <c r="E167">
        <f t="shared" si="9"/>
        <v>9332.9599999999991</v>
      </c>
      <c r="F167">
        <f t="shared" si="10"/>
        <v>673.05</v>
      </c>
      <c r="G167">
        <f t="shared" si="11"/>
        <v>10006.009999999998</v>
      </c>
      <c r="I167" s="1"/>
    </row>
    <row r="168" spans="1:9" x14ac:dyDescent="0.25">
      <c r="A168" t="s">
        <v>335</v>
      </c>
      <c r="B168" t="s">
        <v>336</v>
      </c>
      <c r="C168">
        <v>6130</v>
      </c>
      <c r="D168">
        <f t="shared" si="8"/>
        <v>6375.2</v>
      </c>
      <c r="E168">
        <f t="shared" si="9"/>
        <v>8925.2799999999988</v>
      </c>
      <c r="F168">
        <f t="shared" si="10"/>
        <v>643.65</v>
      </c>
      <c r="G168">
        <f t="shared" si="11"/>
        <v>9568.9299999999985</v>
      </c>
      <c r="I168" s="1"/>
    </row>
    <row r="169" spans="1:9" x14ac:dyDescent="0.25">
      <c r="A169" t="s">
        <v>337</v>
      </c>
      <c r="B169" t="s">
        <v>338</v>
      </c>
      <c r="C169">
        <v>6130</v>
      </c>
      <c r="D169">
        <f t="shared" si="8"/>
        <v>6375.2</v>
      </c>
      <c r="E169">
        <f t="shared" si="9"/>
        <v>8925.2799999999988</v>
      </c>
      <c r="F169">
        <f t="shared" si="10"/>
        <v>643.65</v>
      </c>
      <c r="G169">
        <f t="shared" si="11"/>
        <v>9568.9299999999985</v>
      </c>
      <c r="I169" s="1"/>
    </row>
    <row r="170" spans="1:9" x14ac:dyDescent="0.25">
      <c r="A170" t="s">
        <v>339</v>
      </c>
      <c r="B170" t="s">
        <v>340</v>
      </c>
      <c r="C170">
        <v>4200</v>
      </c>
      <c r="D170">
        <f t="shared" si="8"/>
        <v>4368</v>
      </c>
      <c r="E170">
        <f t="shared" si="9"/>
        <v>6115.2</v>
      </c>
      <c r="F170">
        <f t="shared" si="10"/>
        <v>441</v>
      </c>
      <c r="G170">
        <f t="shared" si="11"/>
        <v>6556.2</v>
      </c>
      <c r="I170" s="1"/>
    </row>
    <row r="171" spans="1:9" x14ac:dyDescent="0.25">
      <c r="A171" t="s">
        <v>341</v>
      </c>
      <c r="B171" t="s">
        <v>342</v>
      </c>
      <c r="C171">
        <v>4600</v>
      </c>
      <c r="D171">
        <f t="shared" si="8"/>
        <v>4784</v>
      </c>
      <c r="E171">
        <f t="shared" si="9"/>
        <v>6697.6</v>
      </c>
      <c r="F171">
        <f t="shared" si="10"/>
        <v>483</v>
      </c>
      <c r="G171">
        <f t="shared" si="11"/>
        <v>7180.6</v>
      </c>
      <c r="I171" s="1"/>
    </row>
    <row r="172" spans="1:9" x14ac:dyDescent="0.25">
      <c r="A172" t="s">
        <v>343</v>
      </c>
      <c r="B172" t="s">
        <v>344</v>
      </c>
      <c r="C172">
        <v>28000</v>
      </c>
      <c r="D172">
        <f t="shared" si="8"/>
        <v>29120</v>
      </c>
      <c r="E172">
        <f t="shared" si="9"/>
        <v>40768</v>
      </c>
      <c r="F172">
        <f t="shared" si="10"/>
        <v>2940</v>
      </c>
      <c r="G172">
        <f t="shared" si="11"/>
        <v>43708</v>
      </c>
      <c r="I172" s="1"/>
    </row>
    <row r="173" spans="1:9" x14ac:dyDescent="0.25">
      <c r="A173" t="s">
        <v>345</v>
      </c>
      <c r="B173" t="s">
        <v>346</v>
      </c>
      <c r="C173">
        <v>13550</v>
      </c>
      <c r="D173">
        <f t="shared" si="8"/>
        <v>14092</v>
      </c>
      <c r="E173">
        <f t="shared" si="9"/>
        <v>19728.8</v>
      </c>
      <c r="F173">
        <f t="shared" si="10"/>
        <v>1422.75</v>
      </c>
      <c r="G173">
        <f t="shared" si="11"/>
        <v>21151.55</v>
      </c>
      <c r="I173" s="1"/>
    </row>
    <row r="174" spans="1:9" x14ac:dyDescent="0.25">
      <c r="A174" t="s">
        <v>347</v>
      </c>
      <c r="B174" t="s">
        <v>348</v>
      </c>
      <c r="C174">
        <v>9600</v>
      </c>
      <c r="D174">
        <f t="shared" si="8"/>
        <v>9984</v>
      </c>
      <c r="E174">
        <f t="shared" si="9"/>
        <v>13977.6</v>
      </c>
      <c r="F174">
        <f t="shared" si="10"/>
        <v>1008</v>
      </c>
      <c r="G174">
        <f t="shared" si="11"/>
        <v>14985.6</v>
      </c>
      <c r="I174" s="1"/>
    </row>
    <row r="175" spans="1:9" x14ac:dyDescent="0.25">
      <c r="A175" t="s">
        <v>349</v>
      </c>
      <c r="B175" t="s">
        <v>350</v>
      </c>
      <c r="C175">
        <v>2550</v>
      </c>
      <c r="D175">
        <f t="shared" si="8"/>
        <v>2652</v>
      </c>
      <c r="E175">
        <f t="shared" si="9"/>
        <v>3712.8</v>
      </c>
      <c r="F175">
        <f t="shared" si="10"/>
        <v>267.75</v>
      </c>
      <c r="G175">
        <f t="shared" si="11"/>
        <v>3980.55</v>
      </c>
      <c r="I175" s="1"/>
    </row>
    <row r="176" spans="1:9" x14ac:dyDescent="0.25">
      <c r="A176" t="s">
        <v>351</v>
      </c>
      <c r="B176" t="s">
        <v>352</v>
      </c>
      <c r="C176">
        <v>3550</v>
      </c>
      <c r="D176">
        <f t="shared" si="8"/>
        <v>3692</v>
      </c>
      <c r="E176">
        <f t="shared" si="9"/>
        <v>5168.8</v>
      </c>
      <c r="F176">
        <f t="shared" si="10"/>
        <v>372.75</v>
      </c>
      <c r="G176">
        <f t="shared" si="11"/>
        <v>5541.55</v>
      </c>
      <c r="I176" s="1"/>
    </row>
    <row r="177" spans="1:9" x14ac:dyDescent="0.25">
      <c r="A177" t="s">
        <v>353</v>
      </c>
      <c r="B177" t="s">
        <v>354</v>
      </c>
      <c r="C177">
        <v>3950</v>
      </c>
      <c r="D177">
        <f t="shared" si="8"/>
        <v>4108</v>
      </c>
      <c r="E177">
        <f t="shared" si="9"/>
        <v>5751.2</v>
      </c>
      <c r="F177">
        <f t="shared" si="10"/>
        <v>414.75</v>
      </c>
      <c r="G177">
        <f t="shared" si="11"/>
        <v>6165.95</v>
      </c>
      <c r="I177" s="1"/>
    </row>
    <row r="178" spans="1:9" x14ac:dyDescent="0.25">
      <c r="A178" t="s">
        <v>355</v>
      </c>
      <c r="B178" t="s">
        <v>356</v>
      </c>
      <c r="C178">
        <v>4200</v>
      </c>
      <c r="D178">
        <f t="shared" si="8"/>
        <v>4368</v>
      </c>
      <c r="E178">
        <f t="shared" si="9"/>
        <v>6115.2</v>
      </c>
      <c r="F178">
        <f t="shared" si="10"/>
        <v>441</v>
      </c>
      <c r="G178">
        <f t="shared" si="11"/>
        <v>6556.2</v>
      </c>
      <c r="I178" s="1"/>
    </row>
    <row r="179" spans="1:9" x14ac:dyDescent="0.25">
      <c r="A179" t="s">
        <v>357</v>
      </c>
      <c r="B179" t="s">
        <v>358</v>
      </c>
      <c r="C179">
        <v>160</v>
      </c>
      <c r="D179">
        <f t="shared" si="8"/>
        <v>166.4</v>
      </c>
      <c r="E179">
        <f t="shared" si="9"/>
        <v>232.96</v>
      </c>
      <c r="F179">
        <f t="shared" si="10"/>
        <v>16.8</v>
      </c>
      <c r="G179">
        <f t="shared" si="11"/>
        <v>249.76000000000002</v>
      </c>
      <c r="I179" s="1"/>
    </row>
    <row r="180" spans="1:9" x14ac:dyDescent="0.25">
      <c r="A180" t="s">
        <v>359</v>
      </c>
      <c r="B180" t="s">
        <v>360</v>
      </c>
      <c r="C180">
        <v>6070</v>
      </c>
      <c r="D180">
        <f t="shared" si="8"/>
        <v>6312.8</v>
      </c>
      <c r="E180">
        <f t="shared" si="9"/>
        <v>8837.92</v>
      </c>
      <c r="F180">
        <f t="shared" si="10"/>
        <v>637.35</v>
      </c>
      <c r="G180">
        <f t="shared" si="11"/>
        <v>9475.27</v>
      </c>
      <c r="I180" s="1"/>
    </row>
    <row r="181" spans="1:9" x14ac:dyDescent="0.25">
      <c r="A181" t="s">
        <v>361</v>
      </c>
      <c r="B181" t="s">
        <v>661</v>
      </c>
      <c r="C181">
        <v>0</v>
      </c>
      <c r="D181">
        <f t="shared" si="8"/>
        <v>0</v>
      </c>
      <c r="E181">
        <f t="shared" si="9"/>
        <v>0</v>
      </c>
      <c r="F181">
        <f t="shared" si="10"/>
        <v>0</v>
      </c>
      <c r="G181">
        <f t="shared" si="11"/>
        <v>0</v>
      </c>
      <c r="I181" s="1"/>
    </row>
    <row r="182" spans="1:9" x14ac:dyDescent="0.25">
      <c r="A182" t="s">
        <v>362</v>
      </c>
      <c r="B182" t="s">
        <v>363</v>
      </c>
      <c r="C182">
        <v>5600</v>
      </c>
      <c r="D182">
        <f t="shared" si="8"/>
        <v>5824</v>
      </c>
      <c r="E182">
        <f t="shared" si="9"/>
        <v>8153.6</v>
      </c>
      <c r="F182">
        <f t="shared" si="10"/>
        <v>588</v>
      </c>
      <c r="G182">
        <f t="shared" si="11"/>
        <v>8741.6</v>
      </c>
      <c r="I182" s="1"/>
    </row>
    <row r="183" spans="1:9" x14ac:dyDescent="0.25">
      <c r="A183" t="s">
        <v>364</v>
      </c>
      <c r="B183" t="s">
        <v>365</v>
      </c>
      <c r="C183">
        <v>5800</v>
      </c>
      <c r="D183">
        <f t="shared" si="8"/>
        <v>6032</v>
      </c>
      <c r="E183">
        <f t="shared" si="9"/>
        <v>8444.7999999999993</v>
      </c>
      <c r="F183">
        <f t="shared" si="10"/>
        <v>609</v>
      </c>
      <c r="G183">
        <f t="shared" si="11"/>
        <v>9053.7999999999993</v>
      </c>
      <c r="I183" s="1"/>
    </row>
    <row r="184" spans="1:9" x14ac:dyDescent="0.25">
      <c r="A184" t="s">
        <v>366</v>
      </c>
      <c r="B184" t="s">
        <v>367</v>
      </c>
      <c r="C184">
        <v>14050</v>
      </c>
      <c r="D184">
        <f t="shared" si="8"/>
        <v>14612</v>
      </c>
      <c r="E184">
        <f t="shared" si="9"/>
        <v>20456.8</v>
      </c>
      <c r="F184">
        <f t="shared" si="10"/>
        <v>1475.25</v>
      </c>
      <c r="G184">
        <f t="shared" si="11"/>
        <v>21932.05</v>
      </c>
      <c r="I184" s="1"/>
    </row>
    <row r="185" spans="1:9" x14ac:dyDescent="0.25">
      <c r="A185" t="s">
        <v>368</v>
      </c>
      <c r="B185" t="s">
        <v>369</v>
      </c>
      <c r="C185">
        <v>6360</v>
      </c>
      <c r="D185">
        <f t="shared" si="8"/>
        <v>6614.4</v>
      </c>
      <c r="E185">
        <f t="shared" si="9"/>
        <v>9260.16</v>
      </c>
      <c r="F185">
        <f t="shared" si="10"/>
        <v>667.8</v>
      </c>
      <c r="G185">
        <f t="shared" si="11"/>
        <v>9927.9599999999991</v>
      </c>
      <c r="I185" s="1"/>
    </row>
    <row r="186" spans="1:9" x14ac:dyDescent="0.25">
      <c r="A186" t="s">
        <v>370</v>
      </c>
      <c r="B186" t="s">
        <v>655</v>
      </c>
      <c r="C186">
        <v>6600</v>
      </c>
      <c r="D186">
        <f t="shared" si="8"/>
        <v>6864</v>
      </c>
      <c r="E186">
        <f t="shared" si="9"/>
        <v>9609.6</v>
      </c>
      <c r="F186">
        <f t="shared" si="10"/>
        <v>693</v>
      </c>
      <c r="G186">
        <f t="shared" si="11"/>
        <v>10302.6</v>
      </c>
      <c r="I186" s="1"/>
    </row>
    <row r="187" spans="1:9" x14ac:dyDescent="0.25">
      <c r="A187" t="s">
        <v>371</v>
      </c>
      <c r="B187" t="s">
        <v>656</v>
      </c>
      <c r="C187">
        <v>24300</v>
      </c>
      <c r="D187">
        <f t="shared" si="8"/>
        <v>25272</v>
      </c>
      <c r="E187">
        <f t="shared" si="9"/>
        <v>35380.800000000003</v>
      </c>
      <c r="F187">
        <f t="shared" si="10"/>
        <v>2551.5</v>
      </c>
      <c r="G187">
        <f t="shared" si="11"/>
        <v>37932.300000000003</v>
      </c>
      <c r="I187" s="1"/>
    </row>
    <row r="188" spans="1:9" x14ac:dyDescent="0.25">
      <c r="A188" t="s">
        <v>372</v>
      </c>
      <c r="B188" t="s">
        <v>657</v>
      </c>
      <c r="C188">
        <v>4650</v>
      </c>
      <c r="D188">
        <f t="shared" si="8"/>
        <v>4836</v>
      </c>
      <c r="E188">
        <f t="shared" si="9"/>
        <v>6770.4</v>
      </c>
      <c r="F188">
        <f t="shared" si="10"/>
        <v>488.25</v>
      </c>
      <c r="G188">
        <f t="shared" si="11"/>
        <v>7258.65</v>
      </c>
      <c r="I188" s="1"/>
    </row>
    <row r="189" spans="1:9" x14ac:dyDescent="0.25">
      <c r="A189" t="s">
        <v>373</v>
      </c>
      <c r="B189" t="s">
        <v>374</v>
      </c>
      <c r="C189">
        <v>2350</v>
      </c>
      <c r="D189">
        <f t="shared" si="8"/>
        <v>2444</v>
      </c>
      <c r="E189">
        <f t="shared" si="9"/>
        <v>3421.6</v>
      </c>
      <c r="F189">
        <f t="shared" si="10"/>
        <v>246.75</v>
      </c>
      <c r="G189">
        <f t="shared" si="11"/>
        <v>3668.35</v>
      </c>
      <c r="I189" s="1"/>
    </row>
    <row r="190" spans="1:9" x14ac:dyDescent="0.25">
      <c r="A190" t="s">
        <v>375</v>
      </c>
      <c r="B190" t="s">
        <v>376</v>
      </c>
      <c r="C190">
        <v>2690</v>
      </c>
      <c r="D190">
        <f t="shared" si="8"/>
        <v>2797.6</v>
      </c>
      <c r="E190">
        <f t="shared" si="9"/>
        <v>3916.64</v>
      </c>
      <c r="F190">
        <f t="shared" si="10"/>
        <v>282.45</v>
      </c>
      <c r="G190">
        <f t="shared" si="11"/>
        <v>4199.09</v>
      </c>
      <c r="I190" s="1"/>
    </row>
    <row r="191" spans="1:9" x14ac:dyDescent="0.25">
      <c r="A191" t="s">
        <v>377</v>
      </c>
      <c r="B191" t="s">
        <v>378</v>
      </c>
      <c r="C191">
        <v>4870</v>
      </c>
      <c r="D191">
        <f t="shared" si="8"/>
        <v>5064.8</v>
      </c>
      <c r="E191">
        <f t="shared" si="9"/>
        <v>7090.72</v>
      </c>
      <c r="F191">
        <f t="shared" si="10"/>
        <v>511.34999999999997</v>
      </c>
      <c r="G191">
        <f t="shared" si="11"/>
        <v>7602.0700000000006</v>
      </c>
      <c r="I191" s="1"/>
    </row>
    <row r="192" spans="1:9" x14ac:dyDescent="0.25">
      <c r="A192" t="s">
        <v>379</v>
      </c>
      <c r="B192" t="s">
        <v>380</v>
      </c>
      <c r="C192">
        <v>3350</v>
      </c>
      <c r="D192">
        <f t="shared" si="8"/>
        <v>3484</v>
      </c>
      <c r="E192">
        <f t="shared" si="9"/>
        <v>4877.6000000000004</v>
      </c>
      <c r="F192">
        <f t="shared" si="10"/>
        <v>351.75</v>
      </c>
      <c r="G192">
        <f t="shared" si="11"/>
        <v>5229.3500000000004</v>
      </c>
      <c r="I192" s="1"/>
    </row>
    <row r="193" spans="1:9" x14ac:dyDescent="0.25">
      <c r="A193" t="s">
        <v>381</v>
      </c>
      <c r="B193" t="s">
        <v>382</v>
      </c>
      <c r="C193">
        <v>3660</v>
      </c>
      <c r="D193">
        <f t="shared" si="8"/>
        <v>3806.4</v>
      </c>
      <c r="E193">
        <f t="shared" si="9"/>
        <v>5328.96</v>
      </c>
      <c r="F193">
        <f t="shared" si="10"/>
        <v>384.3</v>
      </c>
      <c r="G193">
        <f t="shared" si="11"/>
        <v>5713.26</v>
      </c>
      <c r="I193" s="1"/>
    </row>
    <row r="194" spans="1:9" x14ac:dyDescent="0.25">
      <c r="A194" t="s">
        <v>383</v>
      </c>
      <c r="B194" t="s">
        <v>384</v>
      </c>
      <c r="C194">
        <v>3980</v>
      </c>
      <c r="D194">
        <f t="shared" si="8"/>
        <v>4139.2</v>
      </c>
      <c r="E194">
        <f t="shared" si="9"/>
        <v>5794.88</v>
      </c>
      <c r="F194">
        <f t="shared" si="10"/>
        <v>417.9</v>
      </c>
      <c r="G194">
        <f t="shared" si="11"/>
        <v>6212.78</v>
      </c>
      <c r="I194" s="1"/>
    </row>
    <row r="195" spans="1:9" x14ac:dyDescent="0.25">
      <c r="A195" t="s">
        <v>385</v>
      </c>
      <c r="B195" t="s">
        <v>386</v>
      </c>
      <c r="C195">
        <v>5460</v>
      </c>
      <c r="D195">
        <f t="shared" si="8"/>
        <v>5678.4</v>
      </c>
      <c r="E195">
        <f t="shared" si="9"/>
        <v>7949.76</v>
      </c>
      <c r="F195">
        <f t="shared" si="10"/>
        <v>573.29999999999995</v>
      </c>
      <c r="G195">
        <f t="shared" si="11"/>
        <v>8523.06</v>
      </c>
      <c r="I195" s="1"/>
    </row>
    <row r="196" spans="1:9" x14ac:dyDescent="0.25">
      <c r="A196" t="s">
        <v>387</v>
      </c>
      <c r="B196" t="s">
        <v>388</v>
      </c>
      <c r="C196">
        <v>2650</v>
      </c>
      <c r="D196">
        <f t="shared" ref="D196:D259" si="12">C196+(C196*$D$2)</f>
        <v>2756</v>
      </c>
      <c r="E196">
        <f t="shared" ref="E196:E259" si="13">D196+(D196*$E$2)</f>
        <v>3858.4</v>
      </c>
      <c r="F196">
        <f t="shared" ref="F196:F259" si="14">C196*$F$2</f>
        <v>278.25</v>
      </c>
      <c r="G196">
        <f t="shared" ref="G196:G259" si="15">E196+F196</f>
        <v>4136.6499999999996</v>
      </c>
      <c r="I196" s="1"/>
    </row>
    <row r="197" spans="1:9" x14ac:dyDescent="0.25">
      <c r="A197" t="s">
        <v>389</v>
      </c>
      <c r="B197" t="s">
        <v>390</v>
      </c>
      <c r="C197">
        <v>4290</v>
      </c>
      <c r="D197">
        <f t="shared" si="12"/>
        <v>4461.6000000000004</v>
      </c>
      <c r="E197">
        <f t="shared" si="13"/>
        <v>6246.2400000000007</v>
      </c>
      <c r="F197">
        <f t="shared" si="14"/>
        <v>450.45</v>
      </c>
      <c r="G197">
        <f t="shared" si="15"/>
        <v>6696.6900000000005</v>
      </c>
      <c r="I197" s="1"/>
    </row>
    <row r="198" spans="1:9" x14ac:dyDescent="0.25">
      <c r="A198" t="s">
        <v>391</v>
      </c>
      <c r="B198" t="s">
        <v>392</v>
      </c>
      <c r="C198">
        <v>1950</v>
      </c>
      <c r="D198">
        <f t="shared" si="12"/>
        <v>2028</v>
      </c>
      <c r="E198">
        <f t="shared" si="13"/>
        <v>2839.2</v>
      </c>
      <c r="F198">
        <f t="shared" si="14"/>
        <v>204.75</v>
      </c>
      <c r="G198">
        <f t="shared" si="15"/>
        <v>3043.95</v>
      </c>
      <c r="I198" s="1"/>
    </row>
    <row r="199" spans="1:9" x14ac:dyDescent="0.25">
      <c r="A199" t="s">
        <v>393</v>
      </c>
      <c r="B199" t="s">
        <v>394</v>
      </c>
      <c r="C199">
        <v>1090</v>
      </c>
      <c r="D199">
        <f t="shared" si="12"/>
        <v>1133.5999999999999</v>
      </c>
      <c r="E199">
        <f t="shared" si="13"/>
        <v>1587.04</v>
      </c>
      <c r="F199">
        <f t="shared" si="14"/>
        <v>114.45</v>
      </c>
      <c r="G199">
        <f t="shared" si="15"/>
        <v>1701.49</v>
      </c>
      <c r="I199" s="1"/>
    </row>
    <row r="200" spans="1:9" x14ac:dyDescent="0.25">
      <c r="A200" t="s">
        <v>395</v>
      </c>
      <c r="B200" t="s">
        <v>396</v>
      </c>
      <c r="C200">
        <v>2350</v>
      </c>
      <c r="D200">
        <f t="shared" si="12"/>
        <v>2444</v>
      </c>
      <c r="E200">
        <f t="shared" si="13"/>
        <v>3421.6</v>
      </c>
      <c r="F200">
        <f t="shared" si="14"/>
        <v>246.75</v>
      </c>
      <c r="G200">
        <f t="shared" si="15"/>
        <v>3668.35</v>
      </c>
      <c r="I200" s="1"/>
    </row>
    <row r="201" spans="1:9" x14ac:dyDescent="0.25">
      <c r="A201" t="s">
        <v>397</v>
      </c>
      <c r="B201" t="s">
        <v>398</v>
      </c>
      <c r="C201">
        <v>1900</v>
      </c>
      <c r="D201">
        <f t="shared" si="12"/>
        <v>1976</v>
      </c>
      <c r="E201">
        <f t="shared" si="13"/>
        <v>2766.4</v>
      </c>
      <c r="F201">
        <f t="shared" si="14"/>
        <v>199.5</v>
      </c>
      <c r="G201">
        <f t="shared" si="15"/>
        <v>2965.9</v>
      </c>
      <c r="I201" s="1"/>
    </row>
    <row r="202" spans="1:9" x14ac:dyDescent="0.25">
      <c r="A202" t="s">
        <v>399</v>
      </c>
      <c r="B202" t="s">
        <v>578</v>
      </c>
      <c r="C202">
        <v>1550</v>
      </c>
      <c r="D202">
        <f t="shared" si="12"/>
        <v>1612</v>
      </c>
      <c r="E202">
        <f t="shared" si="13"/>
        <v>2256.8000000000002</v>
      </c>
      <c r="F202">
        <f t="shared" si="14"/>
        <v>162.75</v>
      </c>
      <c r="G202">
        <f t="shared" si="15"/>
        <v>2419.5500000000002</v>
      </c>
      <c r="I202" s="1"/>
    </row>
    <row r="203" spans="1:9" x14ac:dyDescent="0.25">
      <c r="A203" t="s">
        <v>400</v>
      </c>
      <c r="B203" t="s">
        <v>401</v>
      </c>
      <c r="C203">
        <v>1880</v>
      </c>
      <c r="D203">
        <f t="shared" si="12"/>
        <v>1955.2</v>
      </c>
      <c r="E203">
        <f t="shared" si="13"/>
        <v>2737.28</v>
      </c>
      <c r="F203">
        <f t="shared" si="14"/>
        <v>197.4</v>
      </c>
      <c r="G203">
        <f t="shared" si="15"/>
        <v>2934.6800000000003</v>
      </c>
      <c r="I203" s="1"/>
    </row>
    <row r="204" spans="1:9" x14ac:dyDescent="0.25">
      <c r="A204" t="s">
        <v>402</v>
      </c>
      <c r="B204" t="s">
        <v>403</v>
      </c>
      <c r="C204">
        <v>310</v>
      </c>
      <c r="D204">
        <f t="shared" si="12"/>
        <v>322.39999999999998</v>
      </c>
      <c r="E204">
        <f t="shared" si="13"/>
        <v>451.36</v>
      </c>
      <c r="F204">
        <f t="shared" si="14"/>
        <v>32.549999999999997</v>
      </c>
      <c r="G204">
        <f t="shared" si="15"/>
        <v>483.91</v>
      </c>
      <c r="I204" s="1"/>
    </row>
    <row r="205" spans="1:9" x14ac:dyDescent="0.25">
      <c r="A205" t="s">
        <v>404</v>
      </c>
      <c r="B205" t="s">
        <v>405</v>
      </c>
      <c r="C205">
        <v>210</v>
      </c>
      <c r="D205">
        <f t="shared" si="12"/>
        <v>218.4</v>
      </c>
      <c r="E205">
        <f t="shared" si="13"/>
        <v>305.76</v>
      </c>
      <c r="F205">
        <f t="shared" si="14"/>
        <v>22.05</v>
      </c>
      <c r="G205">
        <f t="shared" si="15"/>
        <v>327.81</v>
      </c>
      <c r="I205" s="1"/>
    </row>
    <row r="206" spans="1:9" x14ac:dyDescent="0.25">
      <c r="A206" t="s">
        <v>406</v>
      </c>
      <c r="B206" t="s">
        <v>407</v>
      </c>
      <c r="C206">
        <v>230</v>
      </c>
      <c r="D206">
        <f t="shared" si="12"/>
        <v>239.2</v>
      </c>
      <c r="E206">
        <f t="shared" si="13"/>
        <v>334.88</v>
      </c>
      <c r="F206">
        <f t="shared" si="14"/>
        <v>24.15</v>
      </c>
      <c r="G206">
        <f t="shared" si="15"/>
        <v>359.03</v>
      </c>
      <c r="I206" s="1"/>
    </row>
    <row r="207" spans="1:9" x14ac:dyDescent="0.25">
      <c r="A207" t="s">
        <v>408</v>
      </c>
      <c r="B207" t="s">
        <v>409</v>
      </c>
      <c r="C207">
        <v>4020</v>
      </c>
      <c r="D207">
        <f t="shared" si="12"/>
        <v>4180.8</v>
      </c>
      <c r="E207">
        <f t="shared" si="13"/>
        <v>5853.1200000000008</v>
      </c>
      <c r="F207">
        <f t="shared" si="14"/>
        <v>422.09999999999997</v>
      </c>
      <c r="G207">
        <f t="shared" si="15"/>
        <v>6275.2200000000012</v>
      </c>
      <c r="I207" s="1"/>
    </row>
    <row r="208" spans="1:9" x14ac:dyDescent="0.25">
      <c r="A208" t="s">
        <v>410</v>
      </c>
      <c r="B208" t="s">
        <v>411</v>
      </c>
      <c r="C208">
        <v>1100</v>
      </c>
      <c r="D208">
        <f t="shared" si="12"/>
        <v>1144</v>
      </c>
      <c r="E208">
        <f t="shared" si="13"/>
        <v>1601.6</v>
      </c>
      <c r="F208">
        <f t="shared" si="14"/>
        <v>115.5</v>
      </c>
      <c r="G208">
        <f t="shared" si="15"/>
        <v>1717.1</v>
      </c>
      <c r="I208" s="1"/>
    </row>
    <row r="209" spans="1:9" x14ac:dyDescent="0.25">
      <c r="A209" t="s">
        <v>412</v>
      </c>
      <c r="B209" t="s">
        <v>413</v>
      </c>
      <c r="C209">
        <v>1650</v>
      </c>
      <c r="D209">
        <f t="shared" si="12"/>
        <v>1716</v>
      </c>
      <c r="E209">
        <f t="shared" si="13"/>
        <v>2402.4</v>
      </c>
      <c r="F209">
        <f t="shared" si="14"/>
        <v>173.25</v>
      </c>
      <c r="G209">
        <f t="shared" si="15"/>
        <v>2575.65</v>
      </c>
      <c r="I209" s="1"/>
    </row>
    <row r="210" spans="1:9" x14ac:dyDescent="0.25">
      <c r="A210" t="s">
        <v>414</v>
      </c>
      <c r="B210" t="s">
        <v>415</v>
      </c>
      <c r="C210">
        <v>1900</v>
      </c>
      <c r="D210">
        <f t="shared" si="12"/>
        <v>1976</v>
      </c>
      <c r="E210">
        <f t="shared" si="13"/>
        <v>2766.4</v>
      </c>
      <c r="F210">
        <f t="shared" si="14"/>
        <v>199.5</v>
      </c>
      <c r="G210">
        <f t="shared" si="15"/>
        <v>2965.9</v>
      </c>
      <c r="I210" s="1"/>
    </row>
    <row r="211" spans="1:9" x14ac:dyDescent="0.25">
      <c r="A211" t="s">
        <v>416</v>
      </c>
      <c r="B211" t="s">
        <v>417</v>
      </c>
      <c r="C211">
        <v>2300</v>
      </c>
      <c r="D211">
        <f t="shared" si="12"/>
        <v>2392</v>
      </c>
      <c r="E211">
        <f t="shared" si="13"/>
        <v>3348.8</v>
      </c>
      <c r="F211">
        <f t="shared" si="14"/>
        <v>241.5</v>
      </c>
      <c r="G211">
        <f t="shared" si="15"/>
        <v>3590.3</v>
      </c>
      <c r="I211" s="1"/>
    </row>
    <row r="212" spans="1:9" x14ac:dyDescent="0.25">
      <c r="A212" t="s">
        <v>418</v>
      </c>
      <c r="B212" t="s">
        <v>419</v>
      </c>
      <c r="C212">
        <v>3550</v>
      </c>
      <c r="D212">
        <f t="shared" si="12"/>
        <v>3692</v>
      </c>
      <c r="E212">
        <f t="shared" si="13"/>
        <v>5168.8</v>
      </c>
      <c r="F212">
        <f t="shared" si="14"/>
        <v>372.75</v>
      </c>
      <c r="G212">
        <f t="shared" si="15"/>
        <v>5541.55</v>
      </c>
      <c r="I212" s="1"/>
    </row>
    <row r="213" spans="1:9" x14ac:dyDescent="0.25">
      <c r="A213" t="s">
        <v>420</v>
      </c>
      <c r="B213" t="s">
        <v>421</v>
      </c>
      <c r="C213">
        <v>3950</v>
      </c>
      <c r="D213">
        <f t="shared" si="12"/>
        <v>4108</v>
      </c>
      <c r="E213">
        <f t="shared" si="13"/>
        <v>5751.2</v>
      </c>
      <c r="F213">
        <f t="shared" si="14"/>
        <v>414.75</v>
      </c>
      <c r="G213">
        <f t="shared" si="15"/>
        <v>6165.95</v>
      </c>
      <c r="I213" s="1"/>
    </row>
    <row r="214" spans="1:9" x14ac:dyDescent="0.25">
      <c r="A214" t="s">
        <v>422</v>
      </c>
      <c r="B214" t="s">
        <v>423</v>
      </c>
      <c r="C214">
        <v>4300</v>
      </c>
      <c r="D214">
        <f t="shared" si="12"/>
        <v>4472</v>
      </c>
      <c r="E214">
        <f t="shared" si="13"/>
        <v>6260.8</v>
      </c>
      <c r="F214">
        <f t="shared" si="14"/>
        <v>451.5</v>
      </c>
      <c r="G214">
        <f t="shared" si="15"/>
        <v>6712.3</v>
      </c>
      <c r="I214" s="1"/>
    </row>
    <row r="215" spans="1:9" x14ac:dyDescent="0.25">
      <c r="A215" t="s">
        <v>424</v>
      </c>
      <c r="B215" t="s">
        <v>425</v>
      </c>
      <c r="C215">
        <v>4550</v>
      </c>
      <c r="D215">
        <f t="shared" si="12"/>
        <v>4732</v>
      </c>
      <c r="E215">
        <f t="shared" si="13"/>
        <v>6624.8</v>
      </c>
      <c r="F215">
        <f t="shared" si="14"/>
        <v>477.75</v>
      </c>
      <c r="G215">
        <f t="shared" si="15"/>
        <v>7102.55</v>
      </c>
      <c r="I215" s="1"/>
    </row>
    <row r="216" spans="1:9" x14ac:dyDescent="0.25">
      <c r="A216" t="s">
        <v>426</v>
      </c>
      <c r="B216" t="s">
        <v>427</v>
      </c>
      <c r="C216">
        <v>10290</v>
      </c>
      <c r="D216">
        <v>9700</v>
      </c>
      <c r="E216">
        <f t="shared" si="13"/>
        <v>13580</v>
      </c>
      <c r="F216">
        <f t="shared" si="14"/>
        <v>1080.45</v>
      </c>
      <c r="G216">
        <f t="shared" si="15"/>
        <v>14660.45</v>
      </c>
      <c r="I216" s="1"/>
    </row>
    <row r="217" spans="1:9" x14ac:dyDescent="0.25">
      <c r="A217" t="s">
        <v>428</v>
      </c>
      <c r="B217" t="s">
        <v>429</v>
      </c>
      <c r="C217">
        <v>11850</v>
      </c>
      <c r="D217">
        <v>9700</v>
      </c>
      <c r="E217">
        <f t="shared" si="13"/>
        <v>13580</v>
      </c>
      <c r="F217">
        <f t="shared" si="14"/>
        <v>1244.25</v>
      </c>
      <c r="G217">
        <f t="shared" si="15"/>
        <v>14824.25</v>
      </c>
      <c r="I217" s="1"/>
    </row>
    <row r="218" spans="1:9" x14ac:dyDescent="0.25">
      <c r="A218" t="s">
        <v>430</v>
      </c>
      <c r="B218" t="s">
        <v>431</v>
      </c>
      <c r="C218">
        <v>15120</v>
      </c>
      <c r="D218">
        <v>12900</v>
      </c>
      <c r="E218">
        <f t="shared" si="13"/>
        <v>18060</v>
      </c>
      <c r="F218">
        <f t="shared" si="14"/>
        <v>1587.6</v>
      </c>
      <c r="G218">
        <f t="shared" si="15"/>
        <v>19647.599999999999</v>
      </c>
      <c r="I218" s="1"/>
    </row>
    <row r="219" spans="1:9" x14ac:dyDescent="0.25">
      <c r="A219" t="s">
        <v>432</v>
      </c>
      <c r="B219" t="s">
        <v>433</v>
      </c>
      <c r="C219">
        <v>2900</v>
      </c>
      <c r="D219">
        <f t="shared" si="12"/>
        <v>3016</v>
      </c>
      <c r="E219">
        <f t="shared" si="13"/>
        <v>4222.3999999999996</v>
      </c>
      <c r="F219">
        <f t="shared" si="14"/>
        <v>304.5</v>
      </c>
      <c r="G219">
        <f t="shared" si="15"/>
        <v>4526.8999999999996</v>
      </c>
      <c r="I219" s="1"/>
    </row>
    <row r="220" spans="1:9" x14ac:dyDescent="0.25">
      <c r="A220" t="s">
        <v>434</v>
      </c>
      <c r="B220" t="s">
        <v>539</v>
      </c>
      <c r="C220">
        <v>23800</v>
      </c>
      <c r="D220">
        <f t="shared" si="12"/>
        <v>24752</v>
      </c>
      <c r="E220">
        <f t="shared" si="13"/>
        <v>34652.800000000003</v>
      </c>
      <c r="F220">
        <f t="shared" si="14"/>
        <v>2499</v>
      </c>
      <c r="G220">
        <f t="shared" si="15"/>
        <v>37151.800000000003</v>
      </c>
      <c r="I220" s="1"/>
    </row>
    <row r="221" spans="1:9" x14ac:dyDescent="0.25">
      <c r="A221" t="s">
        <v>435</v>
      </c>
      <c r="B221" t="s">
        <v>436</v>
      </c>
      <c r="C221">
        <v>34300</v>
      </c>
      <c r="D221">
        <f t="shared" si="12"/>
        <v>35672</v>
      </c>
      <c r="E221">
        <f t="shared" si="13"/>
        <v>49940.800000000003</v>
      </c>
      <c r="F221">
        <f t="shared" si="14"/>
        <v>3601.5</v>
      </c>
      <c r="G221">
        <f t="shared" si="15"/>
        <v>53542.3</v>
      </c>
      <c r="I221" s="1"/>
    </row>
    <row r="222" spans="1:9" x14ac:dyDescent="0.25">
      <c r="A222" t="s">
        <v>437</v>
      </c>
      <c r="B222" t="s">
        <v>438</v>
      </c>
      <c r="C222">
        <v>10080</v>
      </c>
      <c r="D222">
        <f t="shared" si="12"/>
        <v>10483.200000000001</v>
      </c>
      <c r="E222">
        <f t="shared" si="13"/>
        <v>14676.480000000001</v>
      </c>
      <c r="F222">
        <f t="shared" si="14"/>
        <v>1058.3999999999999</v>
      </c>
      <c r="G222">
        <f t="shared" si="15"/>
        <v>15734.880000000001</v>
      </c>
      <c r="I222" s="1"/>
    </row>
    <row r="223" spans="1:9" x14ac:dyDescent="0.25">
      <c r="A223" t="s">
        <v>439</v>
      </c>
      <c r="B223" t="s">
        <v>440</v>
      </c>
      <c r="C223">
        <v>15120</v>
      </c>
      <c r="D223">
        <f t="shared" si="12"/>
        <v>15724.8</v>
      </c>
      <c r="E223">
        <f t="shared" si="13"/>
        <v>22014.720000000001</v>
      </c>
      <c r="F223">
        <f t="shared" si="14"/>
        <v>1587.6</v>
      </c>
      <c r="G223">
        <f t="shared" si="15"/>
        <v>23602.32</v>
      </c>
      <c r="I223" s="1"/>
    </row>
    <row r="224" spans="1:9" x14ac:dyDescent="0.25">
      <c r="A224" t="s">
        <v>441</v>
      </c>
      <c r="B224" t="s">
        <v>442</v>
      </c>
      <c r="C224">
        <v>41300</v>
      </c>
      <c r="D224">
        <f t="shared" si="12"/>
        <v>42952</v>
      </c>
      <c r="E224">
        <f t="shared" si="13"/>
        <v>60132.800000000003</v>
      </c>
      <c r="F224">
        <f t="shared" si="14"/>
        <v>4336.5</v>
      </c>
      <c r="G224">
        <f t="shared" si="15"/>
        <v>64469.3</v>
      </c>
      <c r="I224" s="1"/>
    </row>
    <row r="225" spans="1:9" x14ac:dyDescent="0.25">
      <c r="A225" t="s">
        <v>443</v>
      </c>
      <c r="B225" t="s">
        <v>444</v>
      </c>
      <c r="C225">
        <v>41300</v>
      </c>
      <c r="D225">
        <f t="shared" si="12"/>
        <v>42952</v>
      </c>
      <c r="E225">
        <f t="shared" si="13"/>
        <v>60132.800000000003</v>
      </c>
      <c r="F225">
        <f t="shared" si="14"/>
        <v>4336.5</v>
      </c>
      <c r="G225">
        <f t="shared" si="15"/>
        <v>64469.3</v>
      </c>
      <c r="I225" s="1"/>
    </row>
    <row r="226" spans="1:9" x14ac:dyDescent="0.25">
      <c r="A226" t="s">
        <v>445</v>
      </c>
      <c r="B226" t="s">
        <v>446</v>
      </c>
      <c r="C226">
        <v>6090</v>
      </c>
      <c r="D226">
        <f t="shared" si="12"/>
        <v>6333.6</v>
      </c>
      <c r="E226">
        <f t="shared" si="13"/>
        <v>8867.0400000000009</v>
      </c>
      <c r="F226">
        <f t="shared" si="14"/>
        <v>639.44999999999993</v>
      </c>
      <c r="G226">
        <f t="shared" si="15"/>
        <v>9506.4900000000016</v>
      </c>
      <c r="I226" s="1"/>
    </row>
    <row r="227" spans="1:9" x14ac:dyDescent="0.25">
      <c r="A227" t="s">
        <v>447</v>
      </c>
      <c r="B227" t="s">
        <v>448</v>
      </c>
      <c r="C227">
        <v>6090</v>
      </c>
      <c r="D227">
        <f t="shared" si="12"/>
        <v>6333.6</v>
      </c>
      <c r="E227">
        <f t="shared" si="13"/>
        <v>8867.0400000000009</v>
      </c>
      <c r="F227">
        <f t="shared" si="14"/>
        <v>639.44999999999993</v>
      </c>
      <c r="G227">
        <f t="shared" si="15"/>
        <v>9506.4900000000016</v>
      </c>
      <c r="I227" s="1"/>
    </row>
    <row r="228" spans="1:9" x14ac:dyDescent="0.25">
      <c r="A228" t="s">
        <v>449</v>
      </c>
      <c r="B228" t="s">
        <v>540</v>
      </c>
      <c r="C228">
        <v>2850</v>
      </c>
      <c r="D228">
        <f t="shared" si="12"/>
        <v>2964</v>
      </c>
      <c r="E228">
        <f t="shared" si="13"/>
        <v>4149.6000000000004</v>
      </c>
      <c r="F228">
        <f t="shared" si="14"/>
        <v>299.25</v>
      </c>
      <c r="G228">
        <f t="shared" si="15"/>
        <v>4448.8500000000004</v>
      </c>
      <c r="I228" s="1"/>
    </row>
    <row r="229" spans="1:9" x14ac:dyDescent="0.25">
      <c r="A229" t="s">
        <v>450</v>
      </c>
      <c r="B229" t="s">
        <v>541</v>
      </c>
      <c r="C229">
        <v>1250</v>
      </c>
      <c r="D229">
        <f t="shared" si="12"/>
        <v>1300</v>
      </c>
      <c r="E229">
        <f t="shared" si="13"/>
        <v>1820</v>
      </c>
      <c r="F229">
        <f t="shared" si="14"/>
        <v>131.25</v>
      </c>
      <c r="G229">
        <f t="shared" si="15"/>
        <v>1951.25</v>
      </c>
      <c r="I229" s="1"/>
    </row>
    <row r="230" spans="1:9" x14ac:dyDescent="0.25">
      <c r="A230" t="s">
        <v>451</v>
      </c>
      <c r="B230" t="s">
        <v>452</v>
      </c>
      <c r="C230">
        <v>3990</v>
      </c>
      <c r="D230">
        <f t="shared" si="12"/>
        <v>4149.6000000000004</v>
      </c>
      <c r="E230">
        <f t="shared" si="13"/>
        <v>5809.4400000000005</v>
      </c>
      <c r="F230">
        <f t="shared" si="14"/>
        <v>418.95</v>
      </c>
      <c r="G230">
        <f t="shared" si="15"/>
        <v>6228.39</v>
      </c>
      <c r="I230" s="1"/>
    </row>
    <row r="231" spans="1:9" x14ac:dyDescent="0.25">
      <c r="A231" t="s">
        <v>453</v>
      </c>
      <c r="B231" t="s">
        <v>454</v>
      </c>
      <c r="C231">
        <v>30870</v>
      </c>
      <c r="D231">
        <f t="shared" si="12"/>
        <v>32104.799999999999</v>
      </c>
      <c r="E231">
        <f t="shared" si="13"/>
        <v>44946.720000000001</v>
      </c>
      <c r="F231">
        <f t="shared" si="14"/>
        <v>3241.35</v>
      </c>
      <c r="G231">
        <f t="shared" si="15"/>
        <v>48188.07</v>
      </c>
      <c r="I231" s="1"/>
    </row>
    <row r="232" spans="1:9" x14ac:dyDescent="0.25">
      <c r="A232" t="s">
        <v>455</v>
      </c>
      <c r="B232" t="s">
        <v>456</v>
      </c>
      <c r="C232">
        <v>39900</v>
      </c>
      <c r="D232">
        <f t="shared" si="12"/>
        <v>41496</v>
      </c>
      <c r="E232">
        <f t="shared" si="13"/>
        <v>58094.400000000001</v>
      </c>
      <c r="F232">
        <f t="shared" si="14"/>
        <v>4189.5</v>
      </c>
      <c r="G232">
        <f t="shared" si="15"/>
        <v>62283.9</v>
      </c>
      <c r="I232" s="1"/>
    </row>
    <row r="233" spans="1:9" x14ac:dyDescent="0.25">
      <c r="A233" t="s">
        <v>457</v>
      </c>
      <c r="B233" t="s">
        <v>458</v>
      </c>
      <c r="C233">
        <v>64620</v>
      </c>
      <c r="D233">
        <f t="shared" si="12"/>
        <v>67204.800000000003</v>
      </c>
      <c r="E233">
        <f t="shared" si="13"/>
        <v>94086.720000000001</v>
      </c>
      <c r="F233">
        <f t="shared" si="14"/>
        <v>6785.0999999999995</v>
      </c>
      <c r="G233">
        <f t="shared" si="15"/>
        <v>100871.82</v>
      </c>
      <c r="I233" s="1"/>
    </row>
    <row r="234" spans="1:9" x14ac:dyDescent="0.25">
      <c r="A234" t="s">
        <v>459</v>
      </c>
      <c r="B234" t="s">
        <v>460</v>
      </c>
      <c r="C234">
        <v>560</v>
      </c>
      <c r="D234">
        <f t="shared" si="12"/>
        <v>582.4</v>
      </c>
      <c r="E234">
        <f t="shared" si="13"/>
        <v>815.36</v>
      </c>
      <c r="F234">
        <f t="shared" si="14"/>
        <v>58.8</v>
      </c>
      <c r="G234">
        <f t="shared" si="15"/>
        <v>874.16</v>
      </c>
      <c r="I234" s="1"/>
    </row>
    <row r="235" spans="1:9" x14ac:dyDescent="0.25">
      <c r="A235" t="s">
        <v>461</v>
      </c>
      <c r="B235" t="s">
        <v>462</v>
      </c>
      <c r="C235">
        <v>670</v>
      </c>
      <c r="D235">
        <f t="shared" si="12"/>
        <v>696.8</v>
      </c>
      <c r="E235">
        <f t="shared" si="13"/>
        <v>975.52</v>
      </c>
      <c r="F235">
        <f t="shared" si="14"/>
        <v>70.349999999999994</v>
      </c>
      <c r="G235">
        <f t="shared" si="15"/>
        <v>1045.8699999999999</v>
      </c>
      <c r="I235" s="1"/>
    </row>
    <row r="236" spans="1:9" x14ac:dyDescent="0.25">
      <c r="A236" t="s">
        <v>463</v>
      </c>
      <c r="B236" t="s">
        <v>464</v>
      </c>
      <c r="C236">
        <v>590</v>
      </c>
      <c r="D236">
        <f t="shared" si="12"/>
        <v>613.6</v>
      </c>
      <c r="E236">
        <f t="shared" si="13"/>
        <v>859.04000000000008</v>
      </c>
      <c r="F236">
        <f t="shared" si="14"/>
        <v>61.949999999999996</v>
      </c>
      <c r="G236">
        <f t="shared" si="15"/>
        <v>920.99000000000012</v>
      </c>
      <c r="I236" s="1"/>
    </row>
    <row r="237" spans="1:9" x14ac:dyDescent="0.25">
      <c r="A237" t="s">
        <v>465</v>
      </c>
      <c r="B237" t="s">
        <v>466</v>
      </c>
      <c r="C237">
        <v>400</v>
      </c>
      <c r="D237">
        <f t="shared" si="12"/>
        <v>416</v>
      </c>
      <c r="E237">
        <f t="shared" si="13"/>
        <v>582.4</v>
      </c>
      <c r="F237">
        <f t="shared" si="14"/>
        <v>42</v>
      </c>
      <c r="G237">
        <f t="shared" si="15"/>
        <v>624.4</v>
      </c>
      <c r="H237">
        <v>1</v>
      </c>
      <c r="I237" s="1"/>
    </row>
    <row r="238" spans="1:9" x14ac:dyDescent="0.25">
      <c r="A238" t="s">
        <v>467</v>
      </c>
      <c r="B238" t="s">
        <v>468</v>
      </c>
      <c r="C238">
        <v>1117.24</v>
      </c>
      <c r="D238">
        <f t="shared" si="12"/>
        <v>1161.9295999999999</v>
      </c>
      <c r="E238">
        <f t="shared" si="13"/>
        <v>1626.7014399999998</v>
      </c>
      <c r="F238">
        <f t="shared" si="14"/>
        <v>117.31019999999999</v>
      </c>
      <c r="G238">
        <f t="shared" si="15"/>
        <v>1744.0116399999997</v>
      </c>
      <c r="H238">
        <v>1</v>
      </c>
      <c r="I238" s="1"/>
    </row>
    <row r="239" spans="1:9" x14ac:dyDescent="0.25">
      <c r="A239" t="s">
        <v>469</v>
      </c>
      <c r="B239" t="s">
        <v>470</v>
      </c>
      <c r="C239">
        <v>1172.5999999999999</v>
      </c>
      <c r="D239">
        <f t="shared" si="12"/>
        <v>1219.5039999999999</v>
      </c>
      <c r="E239">
        <f t="shared" si="13"/>
        <v>1707.3055999999999</v>
      </c>
      <c r="F239">
        <f t="shared" si="14"/>
        <v>123.12299999999999</v>
      </c>
      <c r="G239">
        <f t="shared" si="15"/>
        <v>1830.4286</v>
      </c>
      <c r="H239">
        <v>1</v>
      </c>
      <c r="I239" s="1"/>
    </row>
    <row r="240" spans="1:9" x14ac:dyDescent="0.25">
      <c r="A240" t="s">
        <v>471</v>
      </c>
      <c r="B240" t="s">
        <v>472</v>
      </c>
      <c r="C240">
        <v>900</v>
      </c>
      <c r="D240">
        <f t="shared" si="12"/>
        <v>936</v>
      </c>
      <c r="E240">
        <f t="shared" si="13"/>
        <v>1310.4000000000001</v>
      </c>
      <c r="F240">
        <f t="shared" si="14"/>
        <v>94.5</v>
      </c>
      <c r="G240">
        <f t="shared" si="15"/>
        <v>1404.9</v>
      </c>
      <c r="H240">
        <v>1</v>
      </c>
      <c r="I240" s="1"/>
    </row>
    <row r="241" spans="1:9" x14ac:dyDescent="0.25">
      <c r="A241" t="s">
        <v>473</v>
      </c>
      <c r="B241" t="s">
        <v>474</v>
      </c>
      <c r="C241">
        <v>8247.69</v>
      </c>
      <c r="D241">
        <f t="shared" si="12"/>
        <v>8577.597600000001</v>
      </c>
      <c r="E241">
        <f t="shared" si="13"/>
        <v>12008.636640000001</v>
      </c>
      <c r="F241">
        <f t="shared" si="14"/>
        <v>866.00745000000006</v>
      </c>
      <c r="G241">
        <f t="shared" si="15"/>
        <v>12874.644090000002</v>
      </c>
      <c r="H241">
        <v>1</v>
      </c>
      <c r="I241" s="1"/>
    </row>
    <row r="242" spans="1:9" x14ac:dyDescent="0.25">
      <c r="A242" t="s">
        <v>475</v>
      </c>
      <c r="B242" t="s">
        <v>476</v>
      </c>
      <c r="C242">
        <v>8553.6</v>
      </c>
      <c r="D242">
        <f t="shared" si="12"/>
        <v>8895.7440000000006</v>
      </c>
      <c r="E242">
        <f t="shared" si="13"/>
        <v>12454.0416</v>
      </c>
      <c r="F242">
        <f t="shared" si="14"/>
        <v>898.12800000000004</v>
      </c>
      <c r="G242">
        <f t="shared" si="15"/>
        <v>13352.169600000001</v>
      </c>
      <c r="H242">
        <v>1</v>
      </c>
      <c r="I242" s="1"/>
    </row>
    <row r="243" spans="1:9" x14ac:dyDescent="0.25">
      <c r="A243" t="s">
        <v>477</v>
      </c>
      <c r="B243" t="s">
        <v>478</v>
      </c>
      <c r="C243">
        <v>8869.91</v>
      </c>
      <c r="D243">
        <f t="shared" si="12"/>
        <v>9224.7063999999991</v>
      </c>
      <c r="E243">
        <f t="shared" si="13"/>
        <v>12914.588959999999</v>
      </c>
      <c r="F243">
        <f t="shared" si="14"/>
        <v>931.34054999999989</v>
      </c>
      <c r="G243">
        <f t="shared" si="15"/>
        <v>13845.929509999998</v>
      </c>
      <c r="H243">
        <v>1</v>
      </c>
      <c r="I243" s="1"/>
    </row>
    <row r="244" spans="1:9" x14ac:dyDescent="0.25">
      <c r="A244" t="s">
        <v>479</v>
      </c>
      <c r="B244" t="s">
        <v>480</v>
      </c>
      <c r="C244">
        <v>1253.3399999999999</v>
      </c>
      <c r="D244">
        <f t="shared" si="12"/>
        <v>1303.4735999999998</v>
      </c>
      <c r="E244">
        <f t="shared" si="13"/>
        <v>1824.8630399999997</v>
      </c>
      <c r="F244">
        <f t="shared" si="14"/>
        <v>131.60069999999999</v>
      </c>
      <c r="G244">
        <f t="shared" si="15"/>
        <v>1956.4637399999997</v>
      </c>
      <c r="H244">
        <v>1</v>
      </c>
      <c r="I244" s="1"/>
    </row>
    <row r="245" spans="1:9" x14ac:dyDescent="0.25">
      <c r="A245" t="s">
        <v>481</v>
      </c>
      <c r="B245" t="s">
        <v>482</v>
      </c>
      <c r="C245">
        <v>849.42</v>
      </c>
      <c r="D245">
        <f t="shared" si="12"/>
        <v>883.39679999999998</v>
      </c>
      <c r="E245">
        <f t="shared" si="13"/>
        <v>1236.7555199999999</v>
      </c>
      <c r="F245">
        <f t="shared" si="14"/>
        <v>89.189099999999996</v>
      </c>
      <c r="G245">
        <f t="shared" si="15"/>
        <v>1325.94462</v>
      </c>
      <c r="H245">
        <v>10</v>
      </c>
      <c r="I245" s="1"/>
    </row>
    <row r="246" spans="1:9" x14ac:dyDescent="0.25">
      <c r="A246" t="s">
        <v>581</v>
      </c>
      <c r="B246" t="s">
        <v>483</v>
      </c>
      <c r="C246">
        <v>17320</v>
      </c>
      <c r="D246">
        <f t="shared" si="12"/>
        <v>18012.8</v>
      </c>
      <c r="E246">
        <f t="shared" si="13"/>
        <v>25217.919999999998</v>
      </c>
      <c r="F246">
        <f t="shared" si="14"/>
        <v>1818.6</v>
      </c>
      <c r="G246">
        <f t="shared" si="15"/>
        <v>27036.519999999997</v>
      </c>
      <c r="H246">
        <v>10</v>
      </c>
      <c r="I246" s="1"/>
    </row>
    <row r="247" spans="1:9" x14ac:dyDescent="0.25">
      <c r="A247" t="s">
        <v>582</v>
      </c>
      <c r="B247" t="s">
        <v>484</v>
      </c>
      <c r="C247">
        <v>81800</v>
      </c>
      <c r="D247">
        <f t="shared" si="12"/>
        <v>85072</v>
      </c>
      <c r="E247">
        <f t="shared" si="13"/>
        <v>119100.8</v>
      </c>
      <c r="F247">
        <f t="shared" si="14"/>
        <v>8589</v>
      </c>
      <c r="G247">
        <f t="shared" si="15"/>
        <v>127689.8</v>
      </c>
      <c r="H247">
        <v>1</v>
      </c>
      <c r="I247" s="1"/>
    </row>
    <row r="248" spans="1:9" x14ac:dyDescent="0.25">
      <c r="A248" t="s">
        <v>583</v>
      </c>
      <c r="B248" t="s">
        <v>485</v>
      </c>
      <c r="C248">
        <v>113000</v>
      </c>
      <c r="D248">
        <f t="shared" si="12"/>
        <v>117520</v>
      </c>
      <c r="E248">
        <f t="shared" si="13"/>
        <v>164528</v>
      </c>
      <c r="F248">
        <f t="shared" si="14"/>
        <v>11865</v>
      </c>
      <c r="G248">
        <f t="shared" si="15"/>
        <v>176393</v>
      </c>
      <c r="H248">
        <v>1</v>
      </c>
      <c r="I248" s="1"/>
    </row>
    <row r="249" spans="1:9" x14ac:dyDescent="0.25">
      <c r="A249" t="s">
        <v>486</v>
      </c>
      <c r="B249" t="s">
        <v>487</v>
      </c>
      <c r="C249">
        <v>5067.7299999999996</v>
      </c>
      <c r="D249">
        <f t="shared" si="12"/>
        <v>5270.4391999999998</v>
      </c>
      <c r="E249">
        <f t="shared" si="13"/>
        <v>7378.6148799999992</v>
      </c>
      <c r="F249">
        <f t="shared" si="14"/>
        <v>532.11164999999994</v>
      </c>
      <c r="G249">
        <f t="shared" si="15"/>
        <v>7910.726529999999</v>
      </c>
      <c r="H249">
        <v>1</v>
      </c>
      <c r="I249" s="1"/>
    </row>
    <row r="250" spans="1:9" x14ac:dyDescent="0.25">
      <c r="A250" t="s">
        <v>488</v>
      </c>
      <c r="B250" t="s">
        <v>489</v>
      </c>
      <c r="C250">
        <v>1595.21</v>
      </c>
      <c r="D250">
        <f t="shared" si="12"/>
        <v>1659.0183999999999</v>
      </c>
      <c r="E250">
        <f t="shared" si="13"/>
        <v>2322.6257599999999</v>
      </c>
      <c r="F250">
        <f t="shared" si="14"/>
        <v>167.49705</v>
      </c>
      <c r="G250">
        <f t="shared" si="15"/>
        <v>2490.1228099999998</v>
      </c>
      <c r="H250">
        <v>1</v>
      </c>
      <c r="I250" s="1"/>
    </row>
    <row r="251" spans="1:9" x14ac:dyDescent="0.25">
      <c r="A251" t="s">
        <v>490</v>
      </c>
      <c r="B251" t="s">
        <v>491</v>
      </c>
      <c r="C251">
        <v>1280.1500000000001</v>
      </c>
      <c r="D251">
        <f t="shared" si="12"/>
        <v>1331.356</v>
      </c>
      <c r="E251">
        <f t="shared" si="13"/>
        <v>1863.8984</v>
      </c>
      <c r="F251">
        <f t="shared" si="14"/>
        <v>134.41575</v>
      </c>
      <c r="G251">
        <f t="shared" si="15"/>
        <v>1998.3141500000002</v>
      </c>
      <c r="H251">
        <v>25</v>
      </c>
      <c r="I251" s="1"/>
    </row>
    <row r="252" spans="1:9" x14ac:dyDescent="0.25">
      <c r="A252" t="s">
        <v>492</v>
      </c>
      <c r="B252" t="s">
        <v>493</v>
      </c>
      <c r="C252">
        <v>1323.24</v>
      </c>
      <c r="D252">
        <f t="shared" si="12"/>
        <v>1376.1695999999999</v>
      </c>
      <c r="E252">
        <f t="shared" si="13"/>
        <v>1926.63744</v>
      </c>
      <c r="F252">
        <f t="shared" si="14"/>
        <v>138.9402</v>
      </c>
      <c r="G252">
        <f t="shared" si="15"/>
        <v>2065.57764</v>
      </c>
      <c r="H252">
        <v>25</v>
      </c>
      <c r="I252" s="1"/>
    </row>
    <row r="253" spans="1:9" x14ac:dyDescent="0.25">
      <c r="A253" t="s">
        <v>494</v>
      </c>
      <c r="B253" t="s">
        <v>495</v>
      </c>
      <c r="C253">
        <v>898.49</v>
      </c>
      <c r="D253">
        <f t="shared" si="12"/>
        <v>934.42960000000005</v>
      </c>
      <c r="E253">
        <f t="shared" si="13"/>
        <v>1308.20144</v>
      </c>
      <c r="F253">
        <f t="shared" si="14"/>
        <v>94.341449999999995</v>
      </c>
      <c r="G253">
        <f t="shared" si="15"/>
        <v>1402.5428899999999</v>
      </c>
      <c r="H253">
        <v>20</v>
      </c>
      <c r="I253" s="1"/>
    </row>
    <row r="254" spans="1:9" x14ac:dyDescent="0.25">
      <c r="A254" t="s">
        <v>496</v>
      </c>
      <c r="B254" t="s">
        <v>497</v>
      </c>
      <c r="C254">
        <v>205.7</v>
      </c>
      <c r="D254">
        <f t="shared" si="12"/>
        <v>213.928</v>
      </c>
      <c r="E254">
        <f t="shared" si="13"/>
        <v>299.49919999999997</v>
      </c>
      <c r="F254">
        <f t="shared" si="14"/>
        <v>21.598499999999998</v>
      </c>
      <c r="G254">
        <f t="shared" si="15"/>
        <v>321.09769999999997</v>
      </c>
      <c r="H254">
        <v>20</v>
      </c>
      <c r="I254" s="1"/>
    </row>
    <row r="255" spans="1:9" x14ac:dyDescent="0.25">
      <c r="A255" t="s">
        <v>498</v>
      </c>
      <c r="B255" t="s">
        <v>499</v>
      </c>
      <c r="C255">
        <v>217.8</v>
      </c>
      <c r="D255">
        <f t="shared" si="12"/>
        <v>226.512</v>
      </c>
      <c r="E255">
        <f t="shared" si="13"/>
        <v>317.11680000000001</v>
      </c>
      <c r="F255">
        <f t="shared" si="14"/>
        <v>22.869</v>
      </c>
      <c r="G255">
        <f t="shared" si="15"/>
        <v>339.98580000000004</v>
      </c>
      <c r="H255">
        <v>100</v>
      </c>
      <c r="I255" s="1"/>
    </row>
    <row r="256" spans="1:9" x14ac:dyDescent="0.25">
      <c r="A256" t="s">
        <v>500</v>
      </c>
      <c r="B256" t="s">
        <v>501</v>
      </c>
      <c r="C256">
        <v>157.30000000000001</v>
      </c>
      <c r="D256">
        <f t="shared" si="12"/>
        <v>163.59200000000001</v>
      </c>
      <c r="E256">
        <f t="shared" si="13"/>
        <v>229.02880000000002</v>
      </c>
      <c r="F256">
        <f t="shared" si="14"/>
        <v>16.516500000000001</v>
      </c>
      <c r="G256">
        <f t="shared" si="15"/>
        <v>245.54530000000003</v>
      </c>
      <c r="H256">
        <v>100</v>
      </c>
      <c r="I256" s="1"/>
    </row>
    <row r="257" spans="1:9" x14ac:dyDescent="0.25">
      <c r="A257" t="s">
        <v>502</v>
      </c>
      <c r="B257" t="s">
        <v>503</v>
      </c>
      <c r="C257">
        <v>193.6</v>
      </c>
      <c r="D257">
        <f t="shared" si="12"/>
        <v>201.34399999999999</v>
      </c>
      <c r="E257">
        <f t="shared" si="13"/>
        <v>281.88159999999999</v>
      </c>
      <c r="F257">
        <f t="shared" si="14"/>
        <v>20.327999999999999</v>
      </c>
      <c r="G257">
        <f t="shared" si="15"/>
        <v>302.20959999999997</v>
      </c>
      <c r="H257">
        <v>25</v>
      </c>
      <c r="I257" s="1"/>
    </row>
    <row r="258" spans="1:9" x14ac:dyDescent="0.25">
      <c r="A258" t="s">
        <v>505</v>
      </c>
      <c r="B258" t="s">
        <v>506</v>
      </c>
      <c r="C258">
        <v>454.52</v>
      </c>
      <c r="D258">
        <f t="shared" si="12"/>
        <v>472.70079999999996</v>
      </c>
      <c r="E258">
        <f t="shared" si="13"/>
        <v>661.78111999999999</v>
      </c>
      <c r="F258">
        <f t="shared" si="14"/>
        <v>47.724599999999995</v>
      </c>
      <c r="G258">
        <f t="shared" si="15"/>
        <v>709.50572</v>
      </c>
      <c r="H258">
        <v>25</v>
      </c>
      <c r="I258" s="1"/>
    </row>
    <row r="259" spans="1:9" x14ac:dyDescent="0.25">
      <c r="A259" t="s">
        <v>507</v>
      </c>
      <c r="B259" t="s">
        <v>508</v>
      </c>
      <c r="C259">
        <v>1312.51</v>
      </c>
      <c r="D259">
        <f t="shared" si="12"/>
        <v>1365.0103999999999</v>
      </c>
      <c r="E259">
        <f t="shared" si="13"/>
        <v>1911.0145599999998</v>
      </c>
      <c r="F259">
        <f t="shared" si="14"/>
        <v>137.81354999999999</v>
      </c>
      <c r="G259">
        <f t="shared" si="15"/>
        <v>2048.8281099999999</v>
      </c>
      <c r="H259">
        <v>1</v>
      </c>
      <c r="I259" s="1"/>
    </row>
    <row r="260" spans="1:9" x14ac:dyDescent="0.25">
      <c r="A260" t="s">
        <v>509</v>
      </c>
      <c r="B260" t="s">
        <v>510</v>
      </c>
      <c r="C260">
        <v>1760</v>
      </c>
      <c r="D260">
        <f t="shared" ref="D260:D323" si="16">C260+(C260*$D$2)</f>
        <v>1830.4</v>
      </c>
      <c r="E260">
        <f t="shared" ref="E260:E323" si="17">D260+(D260*$E$2)</f>
        <v>2562.5600000000004</v>
      </c>
      <c r="F260">
        <f t="shared" ref="F260:F323" si="18">C260*$F$2</f>
        <v>184.79999999999998</v>
      </c>
      <c r="G260">
        <f t="shared" ref="G260:G323" si="19">E260+F260</f>
        <v>2747.3600000000006</v>
      </c>
      <c r="H260">
        <v>1</v>
      </c>
      <c r="I260" s="1"/>
    </row>
    <row r="261" spans="1:9" x14ac:dyDescent="0.25">
      <c r="A261" t="s">
        <v>511</v>
      </c>
      <c r="B261" t="s">
        <v>512</v>
      </c>
      <c r="C261">
        <v>456</v>
      </c>
      <c r="D261">
        <f t="shared" si="16"/>
        <v>474.24</v>
      </c>
      <c r="E261">
        <f t="shared" si="17"/>
        <v>663.93600000000004</v>
      </c>
      <c r="F261">
        <f t="shared" si="18"/>
        <v>47.879999999999995</v>
      </c>
      <c r="G261">
        <f t="shared" si="19"/>
        <v>711.81600000000003</v>
      </c>
      <c r="H261">
        <v>1</v>
      </c>
      <c r="I261" s="1"/>
    </row>
    <row r="262" spans="1:9" x14ac:dyDescent="0.25">
      <c r="A262" t="s">
        <v>513</v>
      </c>
      <c r="B262" t="s">
        <v>514</v>
      </c>
      <c r="C262">
        <v>701.85</v>
      </c>
      <c r="D262">
        <f t="shared" si="16"/>
        <v>729.92399999999998</v>
      </c>
      <c r="E262">
        <f t="shared" si="17"/>
        <v>1021.8936</v>
      </c>
      <c r="F262">
        <f t="shared" si="18"/>
        <v>73.694249999999997</v>
      </c>
      <c r="G262">
        <f t="shared" si="19"/>
        <v>1095.5878499999999</v>
      </c>
      <c r="H262">
        <v>1</v>
      </c>
      <c r="I262" s="1"/>
    </row>
    <row r="263" spans="1:9" x14ac:dyDescent="0.25">
      <c r="A263" t="s">
        <v>515</v>
      </c>
      <c r="B263" t="s">
        <v>516</v>
      </c>
      <c r="C263">
        <v>2342</v>
      </c>
      <c r="D263">
        <f t="shared" si="16"/>
        <v>2435.6799999999998</v>
      </c>
      <c r="E263">
        <f t="shared" si="17"/>
        <v>3409.9519999999998</v>
      </c>
      <c r="F263">
        <f t="shared" si="18"/>
        <v>245.91</v>
      </c>
      <c r="G263">
        <f t="shared" si="19"/>
        <v>3655.8619999999996</v>
      </c>
      <c r="H263">
        <v>10</v>
      </c>
      <c r="I263" s="1"/>
    </row>
    <row r="264" spans="1:9" x14ac:dyDescent="0.25">
      <c r="A264" t="s">
        <v>517</v>
      </c>
      <c r="B264" t="s">
        <v>518</v>
      </c>
      <c r="C264">
        <v>24.3</v>
      </c>
      <c r="D264">
        <f t="shared" si="16"/>
        <v>25.272000000000002</v>
      </c>
      <c r="E264">
        <f t="shared" si="17"/>
        <v>35.380800000000008</v>
      </c>
      <c r="F264">
        <f t="shared" si="18"/>
        <v>2.5514999999999999</v>
      </c>
      <c r="G264">
        <f t="shared" si="19"/>
        <v>37.932300000000005</v>
      </c>
      <c r="H264">
        <v>10</v>
      </c>
      <c r="I264" s="1"/>
    </row>
    <row r="265" spans="1:9" x14ac:dyDescent="0.25">
      <c r="A265" t="s">
        <v>519</v>
      </c>
      <c r="B265" t="s">
        <v>520</v>
      </c>
      <c r="C265">
        <v>42</v>
      </c>
      <c r="D265">
        <f t="shared" si="16"/>
        <v>43.68</v>
      </c>
      <c r="E265">
        <f t="shared" si="17"/>
        <v>61.152000000000001</v>
      </c>
      <c r="F265">
        <f t="shared" si="18"/>
        <v>4.41</v>
      </c>
      <c r="G265">
        <f t="shared" si="19"/>
        <v>65.561999999999998</v>
      </c>
      <c r="H265">
        <v>500</v>
      </c>
      <c r="I265" s="1"/>
    </row>
    <row r="266" spans="1:9" x14ac:dyDescent="0.25">
      <c r="A266" t="s">
        <v>521</v>
      </c>
      <c r="B266" t="s">
        <v>522</v>
      </c>
      <c r="C266">
        <v>605.17999999999995</v>
      </c>
      <c r="D266">
        <f t="shared" si="16"/>
        <v>629.38719999999989</v>
      </c>
      <c r="E266">
        <f t="shared" si="17"/>
        <v>881.14207999999985</v>
      </c>
      <c r="F266">
        <f t="shared" si="18"/>
        <v>63.543899999999994</v>
      </c>
      <c r="G266">
        <f t="shared" si="19"/>
        <v>944.68597999999986</v>
      </c>
      <c r="H266">
        <v>500</v>
      </c>
      <c r="I266" s="1"/>
    </row>
    <row r="267" spans="1:9" x14ac:dyDescent="0.25">
      <c r="A267" t="s">
        <v>523</v>
      </c>
      <c r="B267" t="s">
        <v>524</v>
      </c>
      <c r="C267">
        <v>605.17999999999995</v>
      </c>
      <c r="D267">
        <f t="shared" si="16"/>
        <v>629.38719999999989</v>
      </c>
      <c r="E267">
        <f t="shared" si="17"/>
        <v>881.14207999999985</v>
      </c>
      <c r="F267">
        <f t="shared" si="18"/>
        <v>63.543899999999994</v>
      </c>
      <c r="G267">
        <f t="shared" si="19"/>
        <v>944.68597999999986</v>
      </c>
      <c r="H267">
        <v>6</v>
      </c>
      <c r="I267" s="1"/>
    </row>
    <row r="268" spans="1:9" x14ac:dyDescent="0.25">
      <c r="A268" t="s">
        <v>525</v>
      </c>
      <c r="B268" t="s">
        <v>526</v>
      </c>
      <c r="C268">
        <v>490.3</v>
      </c>
      <c r="D268">
        <f t="shared" si="16"/>
        <v>509.91200000000003</v>
      </c>
      <c r="E268">
        <f t="shared" si="17"/>
        <v>713.8768</v>
      </c>
      <c r="F268">
        <f t="shared" si="18"/>
        <v>51.481499999999997</v>
      </c>
      <c r="G268">
        <f t="shared" si="19"/>
        <v>765.35829999999999</v>
      </c>
      <c r="H268">
        <v>6</v>
      </c>
      <c r="I268" s="1"/>
    </row>
    <row r="269" spans="1:9" x14ac:dyDescent="0.25">
      <c r="A269" t="s">
        <v>527</v>
      </c>
      <c r="B269" t="s">
        <v>528</v>
      </c>
      <c r="C269">
        <v>1493.12</v>
      </c>
      <c r="D269">
        <f t="shared" si="16"/>
        <v>1552.8447999999999</v>
      </c>
      <c r="E269">
        <f t="shared" si="17"/>
        <v>2173.98272</v>
      </c>
      <c r="F269">
        <f t="shared" si="18"/>
        <v>156.77759999999998</v>
      </c>
      <c r="G269">
        <f t="shared" si="19"/>
        <v>2330.7603199999999</v>
      </c>
      <c r="H269">
        <v>6</v>
      </c>
      <c r="I269" s="1"/>
    </row>
    <row r="270" spans="1:9" x14ac:dyDescent="0.25">
      <c r="A270" t="s">
        <v>542</v>
      </c>
      <c r="B270" t="s">
        <v>543</v>
      </c>
      <c r="C270">
        <v>1350</v>
      </c>
      <c r="D270">
        <f t="shared" si="16"/>
        <v>1404</v>
      </c>
      <c r="E270">
        <f t="shared" si="17"/>
        <v>1965.6</v>
      </c>
      <c r="F270">
        <f t="shared" si="18"/>
        <v>141.75</v>
      </c>
      <c r="G270">
        <f t="shared" si="19"/>
        <v>2107.35</v>
      </c>
      <c r="H270">
        <v>8</v>
      </c>
      <c r="I270" s="1"/>
    </row>
    <row r="271" spans="1:9" x14ac:dyDescent="0.25">
      <c r="A271" t="s">
        <v>529</v>
      </c>
      <c r="B271" t="s">
        <v>530</v>
      </c>
      <c r="C271">
        <v>4000</v>
      </c>
      <c r="D271">
        <f t="shared" si="16"/>
        <v>4160</v>
      </c>
      <c r="E271">
        <f t="shared" si="17"/>
        <v>5824</v>
      </c>
      <c r="F271">
        <f t="shared" si="18"/>
        <v>420</v>
      </c>
      <c r="G271">
        <f t="shared" si="19"/>
        <v>6244</v>
      </c>
      <c r="H271">
        <v>1</v>
      </c>
      <c r="I271" s="1"/>
    </row>
    <row r="272" spans="1:9" x14ac:dyDescent="0.25">
      <c r="A272" t="s">
        <v>531</v>
      </c>
      <c r="B272" t="s">
        <v>532</v>
      </c>
      <c r="C272">
        <v>156.19999999999999</v>
      </c>
      <c r="D272">
        <f t="shared" si="16"/>
        <v>162.44799999999998</v>
      </c>
      <c r="E272">
        <f t="shared" si="17"/>
        <v>227.42719999999997</v>
      </c>
      <c r="F272">
        <f t="shared" si="18"/>
        <v>16.401</v>
      </c>
      <c r="G272">
        <f t="shared" si="19"/>
        <v>243.82819999999998</v>
      </c>
      <c r="H272">
        <v>10</v>
      </c>
      <c r="I272" s="1"/>
    </row>
    <row r="273" spans="1:9" x14ac:dyDescent="0.25">
      <c r="A273" t="s">
        <v>533</v>
      </c>
      <c r="B273" t="s">
        <v>534</v>
      </c>
      <c r="C273">
        <v>156.19999999999999</v>
      </c>
      <c r="D273">
        <f t="shared" si="16"/>
        <v>162.44799999999998</v>
      </c>
      <c r="E273">
        <f t="shared" si="17"/>
        <v>227.42719999999997</v>
      </c>
      <c r="F273">
        <f t="shared" si="18"/>
        <v>16.401</v>
      </c>
      <c r="G273">
        <f t="shared" si="19"/>
        <v>243.82819999999998</v>
      </c>
      <c r="H273">
        <v>50</v>
      </c>
      <c r="I273" s="1"/>
    </row>
    <row r="274" spans="1:9" x14ac:dyDescent="0.25">
      <c r="A274" t="s">
        <v>535</v>
      </c>
      <c r="B274" t="s">
        <v>536</v>
      </c>
      <c r="C274">
        <v>199.1</v>
      </c>
      <c r="D274">
        <f t="shared" si="16"/>
        <v>207.06399999999999</v>
      </c>
      <c r="E274">
        <f t="shared" si="17"/>
        <v>289.88959999999997</v>
      </c>
      <c r="F274">
        <f t="shared" si="18"/>
        <v>20.9055</v>
      </c>
      <c r="G274">
        <f t="shared" si="19"/>
        <v>310.79509999999999</v>
      </c>
      <c r="H274">
        <v>50</v>
      </c>
      <c r="I274" s="1"/>
    </row>
    <row r="275" spans="1:9" x14ac:dyDescent="0.25">
      <c r="A275" t="s">
        <v>537</v>
      </c>
      <c r="B275" t="s">
        <v>538</v>
      </c>
      <c r="C275">
        <v>199.1</v>
      </c>
      <c r="D275">
        <f t="shared" si="16"/>
        <v>207.06399999999999</v>
      </c>
      <c r="E275">
        <f t="shared" si="17"/>
        <v>289.88959999999997</v>
      </c>
      <c r="F275">
        <f t="shared" si="18"/>
        <v>20.9055</v>
      </c>
      <c r="G275">
        <f t="shared" si="19"/>
        <v>310.79509999999999</v>
      </c>
      <c r="H275">
        <v>50</v>
      </c>
      <c r="I275" s="1"/>
    </row>
    <row r="276" spans="1:9" x14ac:dyDescent="0.25">
      <c r="A276" t="s">
        <v>544</v>
      </c>
      <c r="B276" t="s">
        <v>545</v>
      </c>
      <c r="C276">
        <v>166.3</v>
      </c>
      <c r="D276">
        <f t="shared" si="16"/>
        <v>172.952</v>
      </c>
      <c r="E276">
        <f t="shared" si="17"/>
        <v>242.1328</v>
      </c>
      <c r="F276">
        <f t="shared" si="18"/>
        <v>17.461500000000001</v>
      </c>
      <c r="G276">
        <f t="shared" si="19"/>
        <v>259.59429999999998</v>
      </c>
      <c r="H276">
        <v>50</v>
      </c>
      <c r="I276" s="1"/>
    </row>
    <row r="277" spans="1:9" x14ac:dyDescent="0.25">
      <c r="A277" t="s">
        <v>546</v>
      </c>
      <c r="B277" t="s">
        <v>547</v>
      </c>
      <c r="C277">
        <v>443.62</v>
      </c>
      <c r="D277">
        <f t="shared" si="16"/>
        <v>461.3648</v>
      </c>
      <c r="E277">
        <f t="shared" si="17"/>
        <v>645.91072000000008</v>
      </c>
      <c r="F277">
        <f t="shared" si="18"/>
        <v>46.580100000000002</v>
      </c>
      <c r="G277">
        <f t="shared" si="19"/>
        <v>692.4908200000001</v>
      </c>
      <c r="I277" s="1"/>
    </row>
    <row r="278" spans="1:9" x14ac:dyDescent="0.25">
      <c r="A278" t="s">
        <v>548</v>
      </c>
      <c r="B278" t="s">
        <v>549</v>
      </c>
      <c r="C278">
        <v>522.79</v>
      </c>
      <c r="D278">
        <f t="shared" si="16"/>
        <v>543.70159999999998</v>
      </c>
      <c r="E278">
        <f t="shared" si="17"/>
        <v>761.18223999999998</v>
      </c>
      <c r="F278">
        <f t="shared" si="18"/>
        <v>54.892949999999992</v>
      </c>
      <c r="G278">
        <f t="shared" si="19"/>
        <v>816.07519000000002</v>
      </c>
      <c r="I278" s="1"/>
    </row>
    <row r="279" spans="1:9" x14ac:dyDescent="0.25">
      <c r="A279" t="s">
        <v>550</v>
      </c>
      <c r="B279" t="s">
        <v>551</v>
      </c>
      <c r="C279">
        <v>153.47</v>
      </c>
      <c r="D279">
        <f t="shared" si="16"/>
        <v>159.6088</v>
      </c>
      <c r="E279">
        <f t="shared" si="17"/>
        <v>223.45232000000001</v>
      </c>
      <c r="F279">
        <f t="shared" si="18"/>
        <v>16.114349999999998</v>
      </c>
      <c r="G279">
        <f t="shared" si="19"/>
        <v>239.56667000000002</v>
      </c>
      <c r="I279" s="1"/>
    </row>
    <row r="280" spans="1:9" x14ac:dyDescent="0.25">
      <c r="A280" t="s">
        <v>552</v>
      </c>
      <c r="B280" t="s">
        <v>553</v>
      </c>
      <c r="C280">
        <v>102.6</v>
      </c>
      <c r="D280">
        <f t="shared" si="16"/>
        <v>106.70399999999999</v>
      </c>
      <c r="E280">
        <f t="shared" si="17"/>
        <v>149.38560000000001</v>
      </c>
      <c r="F280">
        <f t="shared" si="18"/>
        <v>10.773</v>
      </c>
      <c r="G280">
        <f t="shared" si="19"/>
        <v>160.15860000000001</v>
      </c>
      <c r="I280" s="1"/>
    </row>
    <row r="281" spans="1:9" x14ac:dyDescent="0.25">
      <c r="A281" t="s">
        <v>554</v>
      </c>
      <c r="B281" t="s">
        <v>555</v>
      </c>
      <c r="C281">
        <v>520.29</v>
      </c>
      <c r="D281">
        <f t="shared" si="16"/>
        <v>541.10159999999996</v>
      </c>
      <c r="E281">
        <f t="shared" si="17"/>
        <v>757.54223999999999</v>
      </c>
      <c r="F281">
        <f t="shared" si="18"/>
        <v>54.630449999999996</v>
      </c>
      <c r="G281">
        <f t="shared" si="19"/>
        <v>812.17268999999999</v>
      </c>
      <c r="I281" s="1"/>
    </row>
    <row r="282" spans="1:9" x14ac:dyDescent="0.25">
      <c r="A282" t="s">
        <v>556</v>
      </c>
      <c r="B282" t="s">
        <v>557</v>
      </c>
      <c r="C282">
        <v>1820</v>
      </c>
      <c r="D282">
        <f t="shared" si="16"/>
        <v>1892.8</v>
      </c>
      <c r="E282">
        <f t="shared" si="17"/>
        <v>2649.92</v>
      </c>
      <c r="F282">
        <f t="shared" si="18"/>
        <v>191.1</v>
      </c>
      <c r="G282">
        <f t="shared" si="19"/>
        <v>2841.02</v>
      </c>
      <c r="I282" s="1"/>
    </row>
    <row r="283" spans="1:9" x14ac:dyDescent="0.25">
      <c r="A283" t="s">
        <v>558</v>
      </c>
      <c r="B283" t="s">
        <v>559</v>
      </c>
      <c r="C283">
        <v>3050</v>
      </c>
      <c r="D283">
        <f t="shared" si="16"/>
        <v>3172</v>
      </c>
      <c r="E283">
        <f t="shared" si="17"/>
        <v>4440.8</v>
      </c>
      <c r="F283">
        <f t="shared" si="18"/>
        <v>320.25</v>
      </c>
      <c r="G283">
        <f t="shared" si="19"/>
        <v>4761.05</v>
      </c>
      <c r="I283" s="1"/>
    </row>
    <row r="284" spans="1:9" x14ac:dyDescent="0.25">
      <c r="A284" t="s">
        <v>560</v>
      </c>
      <c r="B284" t="s">
        <v>561</v>
      </c>
      <c r="C284">
        <v>684.41</v>
      </c>
      <c r="D284">
        <f t="shared" si="16"/>
        <v>711.78639999999996</v>
      </c>
      <c r="E284">
        <f t="shared" si="17"/>
        <v>996.50095999999996</v>
      </c>
      <c r="F284">
        <f t="shared" si="18"/>
        <v>71.863049999999987</v>
      </c>
      <c r="G284">
        <f t="shared" si="19"/>
        <v>1068.36401</v>
      </c>
      <c r="I284" s="1"/>
    </row>
    <row r="285" spans="1:9" x14ac:dyDescent="0.25">
      <c r="A285" t="s">
        <v>562</v>
      </c>
      <c r="B285" t="s">
        <v>563</v>
      </c>
      <c r="C285">
        <v>112.2</v>
      </c>
      <c r="D285">
        <f t="shared" si="16"/>
        <v>116.688</v>
      </c>
      <c r="E285">
        <f t="shared" si="17"/>
        <v>163.36320000000001</v>
      </c>
      <c r="F285">
        <f t="shared" si="18"/>
        <v>11.781000000000001</v>
      </c>
      <c r="G285">
        <f t="shared" si="19"/>
        <v>175.14420000000001</v>
      </c>
      <c r="I285" s="1"/>
    </row>
    <row r="286" spans="1:9" x14ac:dyDescent="0.25">
      <c r="A286" t="s">
        <v>564</v>
      </c>
      <c r="B286" t="s">
        <v>565</v>
      </c>
      <c r="C286">
        <v>610</v>
      </c>
      <c r="D286">
        <f t="shared" si="16"/>
        <v>634.4</v>
      </c>
      <c r="E286">
        <f t="shared" si="17"/>
        <v>888.16</v>
      </c>
      <c r="F286">
        <f t="shared" si="18"/>
        <v>64.05</v>
      </c>
      <c r="G286">
        <f t="shared" si="19"/>
        <v>952.20999999999992</v>
      </c>
      <c r="I286" s="1"/>
    </row>
    <row r="287" spans="1:9" x14ac:dyDescent="0.25">
      <c r="A287" t="s">
        <v>566</v>
      </c>
      <c r="B287" t="s">
        <v>567</v>
      </c>
      <c r="C287">
        <v>5602</v>
      </c>
      <c r="D287">
        <f t="shared" si="16"/>
        <v>5826.08</v>
      </c>
      <c r="E287">
        <f t="shared" si="17"/>
        <v>8156.5120000000006</v>
      </c>
      <c r="F287">
        <f t="shared" si="18"/>
        <v>588.20999999999992</v>
      </c>
      <c r="G287">
        <f t="shared" si="19"/>
        <v>8744.7219999999998</v>
      </c>
      <c r="I287" s="1"/>
    </row>
    <row r="288" spans="1:9" x14ac:dyDescent="0.25">
      <c r="A288" t="s">
        <v>568</v>
      </c>
      <c r="B288" t="s">
        <v>569</v>
      </c>
      <c r="C288">
        <v>8365</v>
      </c>
      <c r="D288">
        <f t="shared" si="16"/>
        <v>8699.6</v>
      </c>
      <c r="E288">
        <f t="shared" si="17"/>
        <v>12179.44</v>
      </c>
      <c r="F288">
        <f t="shared" si="18"/>
        <v>878.32499999999993</v>
      </c>
      <c r="G288">
        <f t="shared" si="19"/>
        <v>13057.765000000001</v>
      </c>
      <c r="I288" s="1"/>
    </row>
    <row r="289" spans="1:9" x14ac:dyDescent="0.25">
      <c r="A289" t="s">
        <v>570</v>
      </c>
      <c r="B289" t="s">
        <v>571</v>
      </c>
      <c r="C289">
        <v>413</v>
      </c>
      <c r="D289">
        <f t="shared" si="16"/>
        <v>429.52</v>
      </c>
      <c r="E289">
        <f t="shared" si="17"/>
        <v>601.32799999999997</v>
      </c>
      <c r="F289">
        <f t="shared" si="18"/>
        <v>43.364999999999995</v>
      </c>
      <c r="G289">
        <f t="shared" si="19"/>
        <v>644.69299999999998</v>
      </c>
      <c r="I289" s="1"/>
    </row>
    <row r="290" spans="1:9" x14ac:dyDescent="0.25">
      <c r="A290" t="s">
        <v>572</v>
      </c>
      <c r="B290" t="s">
        <v>573</v>
      </c>
      <c r="C290">
        <v>1800</v>
      </c>
      <c r="D290">
        <f t="shared" si="16"/>
        <v>1872</v>
      </c>
      <c r="E290">
        <f t="shared" si="17"/>
        <v>2620.8000000000002</v>
      </c>
      <c r="F290">
        <f t="shared" si="18"/>
        <v>189</v>
      </c>
      <c r="G290">
        <f t="shared" si="19"/>
        <v>2809.8</v>
      </c>
      <c r="I290" s="1"/>
    </row>
    <row r="291" spans="1:9" x14ac:dyDescent="0.25">
      <c r="A291" t="s">
        <v>574</v>
      </c>
      <c r="B291" t="s">
        <v>575</v>
      </c>
      <c r="C291">
        <v>53</v>
      </c>
      <c r="D291">
        <f t="shared" si="16"/>
        <v>55.12</v>
      </c>
      <c r="E291">
        <f t="shared" si="17"/>
        <v>77.168000000000006</v>
      </c>
      <c r="F291">
        <f t="shared" si="18"/>
        <v>5.5649999999999995</v>
      </c>
      <c r="G291">
        <f t="shared" si="19"/>
        <v>82.733000000000004</v>
      </c>
      <c r="I291" s="1"/>
    </row>
    <row r="292" spans="1:9" x14ac:dyDescent="0.25">
      <c r="A292" t="s">
        <v>584</v>
      </c>
      <c r="B292" t="s">
        <v>674</v>
      </c>
      <c r="C292">
        <v>4001.8</v>
      </c>
      <c r="D292">
        <f t="shared" si="16"/>
        <v>4161.8720000000003</v>
      </c>
      <c r="E292">
        <f t="shared" si="17"/>
        <v>5826.6208000000006</v>
      </c>
      <c r="F292">
        <f t="shared" si="18"/>
        <v>420.18900000000002</v>
      </c>
      <c r="G292">
        <f t="shared" si="19"/>
        <v>6246.8098000000009</v>
      </c>
      <c r="I292" s="1"/>
    </row>
    <row r="293" spans="1:9" x14ac:dyDescent="0.25">
      <c r="A293" t="s">
        <v>585</v>
      </c>
      <c r="B293" t="s">
        <v>576</v>
      </c>
      <c r="C293">
        <v>7400</v>
      </c>
      <c r="D293">
        <f t="shared" si="16"/>
        <v>7696</v>
      </c>
      <c r="E293">
        <f t="shared" si="17"/>
        <v>10774.4</v>
      </c>
      <c r="F293">
        <f t="shared" si="18"/>
        <v>777</v>
      </c>
      <c r="G293">
        <f t="shared" si="19"/>
        <v>11551.4</v>
      </c>
      <c r="I293" s="1"/>
    </row>
    <row r="294" spans="1:9" x14ac:dyDescent="0.25">
      <c r="A294" t="s">
        <v>586</v>
      </c>
      <c r="B294" t="s">
        <v>577</v>
      </c>
      <c r="C294">
        <v>150</v>
      </c>
      <c r="D294">
        <f t="shared" si="16"/>
        <v>156</v>
      </c>
      <c r="E294">
        <f t="shared" si="17"/>
        <v>218.4</v>
      </c>
      <c r="F294">
        <f t="shared" si="18"/>
        <v>15.75</v>
      </c>
      <c r="G294">
        <f t="shared" si="19"/>
        <v>234.15</v>
      </c>
      <c r="I294" s="1"/>
    </row>
    <row r="295" spans="1:9" x14ac:dyDescent="0.25">
      <c r="A295" t="s">
        <v>587</v>
      </c>
      <c r="B295" t="s">
        <v>588</v>
      </c>
      <c r="C295">
        <v>2400</v>
      </c>
      <c r="D295">
        <f t="shared" si="16"/>
        <v>2496</v>
      </c>
      <c r="E295">
        <f t="shared" si="17"/>
        <v>3494.4</v>
      </c>
      <c r="F295">
        <f t="shared" si="18"/>
        <v>252</v>
      </c>
      <c r="G295">
        <f t="shared" si="19"/>
        <v>3746.4</v>
      </c>
      <c r="I295" s="1"/>
    </row>
    <row r="296" spans="1:9" x14ac:dyDescent="0.25">
      <c r="A296" t="s">
        <v>579</v>
      </c>
      <c r="B296" t="s">
        <v>580</v>
      </c>
      <c r="C296">
        <v>396</v>
      </c>
      <c r="D296">
        <f t="shared" si="16"/>
        <v>411.84</v>
      </c>
      <c r="E296">
        <f t="shared" si="17"/>
        <v>576.57600000000002</v>
      </c>
      <c r="F296">
        <f t="shared" si="18"/>
        <v>41.58</v>
      </c>
      <c r="G296">
        <f t="shared" si="19"/>
        <v>618.15600000000006</v>
      </c>
      <c r="I296" s="1"/>
    </row>
    <row r="297" spans="1:9" x14ac:dyDescent="0.25">
      <c r="A297" t="s">
        <v>589</v>
      </c>
      <c r="B297" t="s">
        <v>609</v>
      </c>
      <c r="C297">
        <v>5600</v>
      </c>
      <c r="D297">
        <f t="shared" si="16"/>
        <v>5824</v>
      </c>
      <c r="E297">
        <f t="shared" si="17"/>
        <v>8153.6</v>
      </c>
      <c r="F297">
        <f t="shared" si="18"/>
        <v>588</v>
      </c>
      <c r="G297">
        <f t="shared" si="19"/>
        <v>8741.6</v>
      </c>
      <c r="I297" s="1"/>
    </row>
    <row r="298" spans="1:9" x14ac:dyDescent="0.25">
      <c r="A298" t="s">
        <v>590</v>
      </c>
      <c r="B298" t="s">
        <v>591</v>
      </c>
      <c r="C298">
        <v>119.6</v>
      </c>
      <c r="D298">
        <f t="shared" si="16"/>
        <v>124.384</v>
      </c>
      <c r="E298">
        <f t="shared" si="17"/>
        <v>174.13760000000002</v>
      </c>
      <c r="F298">
        <f t="shared" si="18"/>
        <v>12.557999999999998</v>
      </c>
      <c r="G298">
        <f t="shared" si="19"/>
        <v>186.69560000000001</v>
      </c>
      <c r="I298" s="1"/>
    </row>
    <row r="299" spans="1:9" x14ac:dyDescent="0.25">
      <c r="A299" t="s">
        <v>592</v>
      </c>
      <c r="B299" t="s">
        <v>593</v>
      </c>
      <c r="C299">
        <v>1007.5</v>
      </c>
      <c r="D299">
        <f t="shared" si="16"/>
        <v>1047.8</v>
      </c>
      <c r="E299">
        <f t="shared" si="17"/>
        <v>1466.92</v>
      </c>
      <c r="F299">
        <f t="shared" si="18"/>
        <v>105.78749999999999</v>
      </c>
      <c r="G299">
        <f t="shared" si="19"/>
        <v>1572.7075</v>
      </c>
      <c r="I299" s="1"/>
    </row>
    <row r="300" spans="1:9" x14ac:dyDescent="0.25">
      <c r="A300" t="s">
        <v>667</v>
      </c>
      <c r="B300" t="s">
        <v>594</v>
      </c>
      <c r="C300">
        <v>2358</v>
      </c>
      <c r="D300">
        <f t="shared" si="16"/>
        <v>2452.3200000000002</v>
      </c>
      <c r="E300">
        <f t="shared" si="17"/>
        <v>3433.2480000000005</v>
      </c>
      <c r="F300">
        <f t="shared" si="18"/>
        <v>247.59</v>
      </c>
      <c r="G300">
        <f t="shared" si="19"/>
        <v>3680.8380000000006</v>
      </c>
      <c r="I300" s="1"/>
    </row>
    <row r="301" spans="1:9" x14ac:dyDescent="0.25">
      <c r="A301" t="s">
        <v>595</v>
      </c>
      <c r="B301" t="s">
        <v>596</v>
      </c>
      <c r="C301">
        <v>679</v>
      </c>
      <c r="D301">
        <f t="shared" si="16"/>
        <v>706.16</v>
      </c>
      <c r="E301">
        <f t="shared" si="17"/>
        <v>988.62400000000002</v>
      </c>
      <c r="F301">
        <f t="shared" si="18"/>
        <v>71.295000000000002</v>
      </c>
      <c r="G301">
        <f t="shared" si="19"/>
        <v>1059.9190000000001</v>
      </c>
      <c r="I301" s="1"/>
    </row>
    <row r="302" spans="1:9" x14ac:dyDescent="0.25">
      <c r="A302" t="s">
        <v>597</v>
      </c>
      <c r="B302" t="s">
        <v>598</v>
      </c>
      <c r="C302">
        <v>770</v>
      </c>
      <c r="D302">
        <f t="shared" si="16"/>
        <v>800.8</v>
      </c>
      <c r="E302">
        <f t="shared" si="17"/>
        <v>1121.1199999999999</v>
      </c>
      <c r="F302">
        <f t="shared" si="18"/>
        <v>80.849999999999994</v>
      </c>
      <c r="G302">
        <f t="shared" si="19"/>
        <v>1201.9699999999998</v>
      </c>
      <c r="I302" s="1"/>
    </row>
    <row r="303" spans="1:9" x14ac:dyDescent="0.25">
      <c r="A303" t="s">
        <v>599</v>
      </c>
      <c r="B303" t="s">
        <v>600</v>
      </c>
      <c r="C303">
        <v>2800</v>
      </c>
      <c r="D303">
        <f t="shared" si="16"/>
        <v>2912</v>
      </c>
      <c r="E303">
        <f t="shared" si="17"/>
        <v>4076.8</v>
      </c>
      <c r="F303">
        <f t="shared" si="18"/>
        <v>294</v>
      </c>
      <c r="G303">
        <f t="shared" si="19"/>
        <v>4370.8</v>
      </c>
      <c r="I303" s="1"/>
    </row>
    <row r="304" spans="1:9" x14ac:dyDescent="0.25">
      <c r="A304" t="s">
        <v>601</v>
      </c>
      <c r="B304" t="s">
        <v>602</v>
      </c>
      <c r="C304">
        <v>46.2</v>
      </c>
      <c r="D304">
        <f t="shared" si="16"/>
        <v>48.048000000000002</v>
      </c>
      <c r="E304">
        <f t="shared" si="17"/>
        <v>67.267200000000003</v>
      </c>
      <c r="F304">
        <f t="shared" si="18"/>
        <v>4.851</v>
      </c>
      <c r="G304">
        <f t="shared" si="19"/>
        <v>72.118200000000002</v>
      </c>
      <c r="I304" s="1"/>
    </row>
    <row r="305" spans="1:9" x14ac:dyDescent="0.25">
      <c r="A305" t="s">
        <v>603</v>
      </c>
      <c r="B305" t="s">
        <v>604</v>
      </c>
      <c r="C305">
        <v>55.2</v>
      </c>
      <c r="D305">
        <f t="shared" si="16"/>
        <v>57.408000000000001</v>
      </c>
      <c r="E305">
        <f t="shared" si="17"/>
        <v>80.371200000000002</v>
      </c>
      <c r="F305">
        <f t="shared" si="18"/>
        <v>5.7960000000000003</v>
      </c>
      <c r="G305">
        <f t="shared" si="19"/>
        <v>86.167200000000008</v>
      </c>
      <c r="I305" s="1"/>
    </row>
    <row r="306" spans="1:9" x14ac:dyDescent="0.25">
      <c r="A306" t="s">
        <v>605</v>
      </c>
      <c r="B306" t="s">
        <v>606</v>
      </c>
      <c r="C306">
        <v>3660</v>
      </c>
      <c r="D306">
        <f t="shared" si="16"/>
        <v>3806.4</v>
      </c>
      <c r="E306">
        <f t="shared" si="17"/>
        <v>5328.96</v>
      </c>
      <c r="F306">
        <f t="shared" si="18"/>
        <v>384.3</v>
      </c>
      <c r="G306">
        <f t="shared" si="19"/>
        <v>5713.26</v>
      </c>
      <c r="I306" s="1"/>
    </row>
    <row r="307" spans="1:9" x14ac:dyDescent="0.25">
      <c r="A307" t="s">
        <v>607</v>
      </c>
      <c r="B307" t="s">
        <v>608</v>
      </c>
      <c r="C307">
        <v>1108.8</v>
      </c>
      <c r="D307">
        <f t="shared" si="16"/>
        <v>1153.152</v>
      </c>
      <c r="E307">
        <f t="shared" si="17"/>
        <v>1614.4128000000001</v>
      </c>
      <c r="F307">
        <f t="shared" si="18"/>
        <v>116.42399999999999</v>
      </c>
      <c r="G307">
        <f t="shared" si="19"/>
        <v>1730.8368</v>
      </c>
      <c r="I307" s="1"/>
    </row>
    <row r="308" spans="1:9" x14ac:dyDescent="0.25">
      <c r="A308" t="s">
        <v>610</v>
      </c>
      <c r="B308" t="s">
        <v>611</v>
      </c>
      <c r="C308">
        <v>2654</v>
      </c>
      <c r="D308">
        <f t="shared" si="16"/>
        <v>2760.16</v>
      </c>
      <c r="E308">
        <f t="shared" si="17"/>
        <v>3864.2240000000002</v>
      </c>
      <c r="F308">
        <f t="shared" si="18"/>
        <v>278.67</v>
      </c>
      <c r="G308">
        <f t="shared" si="19"/>
        <v>4142.8940000000002</v>
      </c>
      <c r="I308" s="1"/>
    </row>
    <row r="309" spans="1:9" x14ac:dyDescent="0.25">
      <c r="A309" t="s">
        <v>612</v>
      </c>
      <c r="B309" t="s">
        <v>613</v>
      </c>
      <c r="C309">
        <v>5160</v>
      </c>
      <c r="D309">
        <f t="shared" si="16"/>
        <v>5366.4</v>
      </c>
      <c r="E309">
        <f t="shared" si="17"/>
        <v>7512.9599999999991</v>
      </c>
      <c r="F309">
        <f t="shared" si="18"/>
        <v>541.79999999999995</v>
      </c>
      <c r="G309">
        <f t="shared" si="19"/>
        <v>8054.7599999999993</v>
      </c>
      <c r="I309" s="1"/>
    </row>
    <row r="310" spans="1:9" x14ac:dyDescent="0.25">
      <c r="A310" t="s">
        <v>614</v>
      </c>
      <c r="B310" t="s">
        <v>615</v>
      </c>
      <c r="C310">
        <v>17700</v>
      </c>
      <c r="D310">
        <f t="shared" si="16"/>
        <v>18408</v>
      </c>
      <c r="E310">
        <f t="shared" si="17"/>
        <v>25771.200000000001</v>
      </c>
      <c r="F310">
        <f t="shared" si="18"/>
        <v>1858.5</v>
      </c>
      <c r="G310">
        <f t="shared" si="19"/>
        <v>27629.7</v>
      </c>
      <c r="I310" s="1"/>
    </row>
    <row r="311" spans="1:9" x14ac:dyDescent="0.25">
      <c r="A311" t="s">
        <v>616</v>
      </c>
      <c r="B311" t="s">
        <v>617</v>
      </c>
      <c r="C311">
        <v>490</v>
      </c>
      <c r="D311">
        <f t="shared" si="16"/>
        <v>509.6</v>
      </c>
      <c r="E311">
        <f t="shared" si="17"/>
        <v>713.44</v>
      </c>
      <c r="F311">
        <f t="shared" si="18"/>
        <v>51.449999999999996</v>
      </c>
      <c r="G311">
        <f t="shared" si="19"/>
        <v>764.8900000000001</v>
      </c>
      <c r="I311" s="1"/>
    </row>
    <row r="312" spans="1:9" x14ac:dyDescent="0.25">
      <c r="A312" t="s">
        <v>618</v>
      </c>
      <c r="B312" t="s">
        <v>623</v>
      </c>
      <c r="C312">
        <v>54</v>
      </c>
      <c r="D312">
        <f t="shared" si="16"/>
        <v>56.16</v>
      </c>
      <c r="E312">
        <f t="shared" si="17"/>
        <v>78.623999999999995</v>
      </c>
      <c r="F312">
        <f t="shared" si="18"/>
        <v>5.67</v>
      </c>
      <c r="G312">
        <f t="shared" si="19"/>
        <v>84.293999999999997</v>
      </c>
      <c r="I312" s="1"/>
    </row>
    <row r="313" spans="1:9" x14ac:dyDescent="0.25">
      <c r="A313" t="s">
        <v>619</v>
      </c>
      <c r="B313" t="s">
        <v>624</v>
      </c>
      <c r="C313">
        <v>68</v>
      </c>
      <c r="D313">
        <f t="shared" si="16"/>
        <v>70.72</v>
      </c>
      <c r="E313">
        <f t="shared" si="17"/>
        <v>99.007999999999996</v>
      </c>
      <c r="F313">
        <f t="shared" si="18"/>
        <v>7.14</v>
      </c>
      <c r="G313">
        <f t="shared" si="19"/>
        <v>106.148</v>
      </c>
      <c r="I313" s="1"/>
    </row>
    <row r="314" spans="1:9" x14ac:dyDescent="0.25">
      <c r="A314" t="s">
        <v>620</v>
      </c>
      <c r="B314" t="s">
        <v>625</v>
      </c>
      <c r="C314">
        <v>92</v>
      </c>
      <c r="D314">
        <f t="shared" si="16"/>
        <v>95.68</v>
      </c>
      <c r="E314">
        <f t="shared" si="17"/>
        <v>133.952</v>
      </c>
      <c r="F314">
        <f t="shared" si="18"/>
        <v>9.66</v>
      </c>
      <c r="G314">
        <f t="shared" si="19"/>
        <v>143.61199999999999</v>
      </c>
      <c r="I314" s="1"/>
    </row>
    <row r="315" spans="1:9" x14ac:dyDescent="0.25">
      <c r="A315" t="s">
        <v>621</v>
      </c>
      <c r="B315" t="s">
        <v>626</v>
      </c>
      <c r="C315">
        <v>27</v>
      </c>
      <c r="D315">
        <f t="shared" si="16"/>
        <v>28.08</v>
      </c>
      <c r="E315">
        <f t="shared" si="17"/>
        <v>39.311999999999998</v>
      </c>
      <c r="F315">
        <f t="shared" si="18"/>
        <v>2.835</v>
      </c>
      <c r="G315">
        <f t="shared" si="19"/>
        <v>42.146999999999998</v>
      </c>
      <c r="I315" s="1"/>
    </row>
    <row r="316" spans="1:9" x14ac:dyDescent="0.25">
      <c r="A316" t="s">
        <v>622</v>
      </c>
      <c r="B316" t="s">
        <v>634</v>
      </c>
      <c r="C316">
        <v>27.5</v>
      </c>
      <c r="D316">
        <f t="shared" si="16"/>
        <v>28.6</v>
      </c>
      <c r="E316">
        <f t="shared" si="17"/>
        <v>40.040000000000006</v>
      </c>
      <c r="F316">
        <f t="shared" si="18"/>
        <v>2.8874999999999997</v>
      </c>
      <c r="G316">
        <f t="shared" si="19"/>
        <v>42.927500000000009</v>
      </c>
      <c r="I316" s="1"/>
    </row>
    <row r="317" spans="1:9" x14ac:dyDescent="0.25">
      <c r="A317" t="s">
        <v>627</v>
      </c>
      <c r="B317" t="s">
        <v>631</v>
      </c>
      <c r="C317">
        <v>37.4</v>
      </c>
      <c r="D317">
        <f t="shared" si="16"/>
        <v>38.896000000000001</v>
      </c>
      <c r="E317">
        <f t="shared" si="17"/>
        <v>54.4544</v>
      </c>
      <c r="F317">
        <f t="shared" si="18"/>
        <v>3.9269999999999996</v>
      </c>
      <c r="G317">
        <f t="shared" si="19"/>
        <v>58.381399999999999</v>
      </c>
      <c r="I317" s="1"/>
    </row>
    <row r="318" spans="1:9" x14ac:dyDescent="0.25">
      <c r="A318" t="s">
        <v>628</v>
      </c>
      <c r="B318" t="s">
        <v>632</v>
      </c>
      <c r="C318">
        <v>51.7</v>
      </c>
      <c r="D318">
        <f t="shared" si="16"/>
        <v>53.768000000000001</v>
      </c>
      <c r="E318">
        <f t="shared" si="17"/>
        <v>75.275199999999998</v>
      </c>
      <c r="F318">
        <f t="shared" si="18"/>
        <v>5.4284999999999997</v>
      </c>
      <c r="G318">
        <f t="shared" si="19"/>
        <v>80.703699999999998</v>
      </c>
      <c r="I318" s="1"/>
    </row>
    <row r="319" spans="1:9" x14ac:dyDescent="0.25">
      <c r="A319" t="s">
        <v>629</v>
      </c>
      <c r="B319" t="s">
        <v>633</v>
      </c>
      <c r="C319">
        <v>68.2</v>
      </c>
      <c r="D319">
        <f t="shared" si="16"/>
        <v>70.927999999999997</v>
      </c>
      <c r="E319">
        <f t="shared" si="17"/>
        <v>99.299199999999999</v>
      </c>
      <c r="F319">
        <f t="shared" si="18"/>
        <v>7.1610000000000005</v>
      </c>
      <c r="G319">
        <f t="shared" si="19"/>
        <v>106.4602</v>
      </c>
      <c r="I319" s="1"/>
    </row>
    <row r="320" spans="1:9" x14ac:dyDescent="0.25">
      <c r="A320" t="s">
        <v>630</v>
      </c>
      <c r="B320" t="s">
        <v>635</v>
      </c>
      <c r="C320">
        <v>90</v>
      </c>
      <c r="D320">
        <f t="shared" si="16"/>
        <v>93.6</v>
      </c>
      <c r="E320">
        <f t="shared" si="17"/>
        <v>131.04</v>
      </c>
      <c r="F320">
        <f t="shared" si="18"/>
        <v>9.4499999999999993</v>
      </c>
      <c r="G320">
        <f t="shared" si="19"/>
        <v>140.48999999999998</v>
      </c>
      <c r="I320" s="1"/>
    </row>
    <row r="321" spans="1:9" x14ac:dyDescent="0.25">
      <c r="A321" t="s">
        <v>636</v>
      </c>
      <c r="B321" t="s">
        <v>637</v>
      </c>
      <c r="C321">
        <v>24</v>
      </c>
      <c r="D321">
        <f t="shared" si="16"/>
        <v>24.96</v>
      </c>
      <c r="E321">
        <f t="shared" si="17"/>
        <v>34.944000000000003</v>
      </c>
      <c r="F321">
        <f t="shared" si="18"/>
        <v>2.52</v>
      </c>
      <c r="G321">
        <f t="shared" si="19"/>
        <v>37.464000000000006</v>
      </c>
      <c r="I321" s="1"/>
    </row>
    <row r="322" spans="1:9" x14ac:dyDescent="0.25">
      <c r="A322" t="s">
        <v>638</v>
      </c>
      <c r="B322" t="s">
        <v>639</v>
      </c>
      <c r="C322">
        <v>260</v>
      </c>
      <c r="D322">
        <f t="shared" si="16"/>
        <v>270.39999999999998</v>
      </c>
      <c r="E322">
        <f t="shared" si="17"/>
        <v>378.55999999999995</v>
      </c>
      <c r="F322">
        <f t="shared" si="18"/>
        <v>27.3</v>
      </c>
      <c r="G322">
        <f t="shared" si="19"/>
        <v>405.85999999999996</v>
      </c>
      <c r="I322" s="1"/>
    </row>
    <row r="323" spans="1:9" x14ac:dyDescent="0.25">
      <c r="A323" t="s">
        <v>667</v>
      </c>
      <c r="B323" t="s">
        <v>640</v>
      </c>
      <c r="C323">
        <v>2512</v>
      </c>
      <c r="D323">
        <f t="shared" si="16"/>
        <v>2612.48</v>
      </c>
      <c r="E323">
        <f t="shared" si="17"/>
        <v>3657.4719999999998</v>
      </c>
      <c r="F323">
        <f t="shared" si="18"/>
        <v>263.76</v>
      </c>
      <c r="G323">
        <f t="shared" si="19"/>
        <v>3921.232</v>
      </c>
      <c r="I323" s="1"/>
    </row>
    <row r="324" spans="1:9" x14ac:dyDescent="0.25">
      <c r="A324" t="s">
        <v>641</v>
      </c>
      <c r="B324" t="s">
        <v>642</v>
      </c>
      <c r="C324">
        <v>4342</v>
      </c>
      <c r="D324">
        <f t="shared" ref="D324:D376" si="20">C324+(C324*$D$2)</f>
        <v>4515.68</v>
      </c>
      <c r="E324">
        <f t="shared" ref="E324:E376" si="21">D324+(D324*$E$2)</f>
        <v>6321.9520000000002</v>
      </c>
      <c r="F324">
        <f t="shared" ref="F324:F376" si="22">C324*$F$2</f>
        <v>455.90999999999997</v>
      </c>
      <c r="G324">
        <f t="shared" ref="G324:G376" si="23">E324+F324</f>
        <v>6777.8620000000001</v>
      </c>
    </row>
    <row r="325" spans="1:9" x14ac:dyDescent="0.25">
      <c r="A325" t="s">
        <v>643</v>
      </c>
      <c r="B325" t="s">
        <v>644</v>
      </c>
      <c r="C325">
        <v>4342</v>
      </c>
      <c r="D325">
        <f t="shared" si="20"/>
        <v>4515.68</v>
      </c>
      <c r="E325">
        <f t="shared" si="21"/>
        <v>6321.9520000000002</v>
      </c>
      <c r="F325">
        <f t="shared" si="22"/>
        <v>455.90999999999997</v>
      </c>
      <c r="G325">
        <f t="shared" si="23"/>
        <v>6777.8620000000001</v>
      </c>
    </row>
    <row r="326" spans="1:9" x14ac:dyDescent="0.25">
      <c r="A326" t="s">
        <v>647</v>
      </c>
      <c r="B326" t="s">
        <v>648</v>
      </c>
      <c r="C326">
        <v>82500</v>
      </c>
      <c r="D326">
        <f t="shared" si="20"/>
        <v>85800</v>
      </c>
      <c r="E326">
        <f t="shared" si="21"/>
        <v>120120</v>
      </c>
      <c r="F326">
        <f t="shared" si="22"/>
        <v>8662.5</v>
      </c>
      <c r="G326">
        <f t="shared" si="23"/>
        <v>128782.5</v>
      </c>
    </row>
    <row r="327" spans="1:9" x14ac:dyDescent="0.25">
      <c r="A327" t="s">
        <v>649</v>
      </c>
      <c r="B327" t="s">
        <v>650</v>
      </c>
      <c r="C327">
        <v>2700</v>
      </c>
      <c r="D327">
        <f t="shared" si="20"/>
        <v>2808</v>
      </c>
      <c r="E327">
        <f t="shared" si="21"/>
        <v>3931.2</v>
      </c>
      <c r="F327">
        <f t="shared" si="22"/>
        <v>283.5</v>
      </c>
      <c r="G327">
        <f t="shared" si="23"/>
        <v>4214.7</v>
      </c>
    </row>
    <row r="328" spans="1:9" x14ac:dyDescent="0.25">
      <c r="A328" t="s">
        <v>651</v>
      </c>
      <c r="B328" t="s">
        <v>652</v>
      </c>
      <c r="C328">
        <v>300</v>
      </c>
      <c r="D328">
        <f t="shared" si="20"/>
        <v>312</v>
      </c>
      <c r="E328">
        <f t="shared" si="21"/>
        <v>436.8</v>
      </c>
      <c r="F328">
        <f t="shared" si="22"/>
        <v>31.5</v>
      </c>
      <c r="G328">
        <f t="shared" si="23"/>
        <v>468.3</v>
      </c>
    </row>
    <row r="329" spans="1:9" x14ac:dyDescent="0.25">
      <c r="A329" t="s">
        <v>653</v>
      </c>
      <c r="B329" t="s">
        <v>654</v>
      </c>
      <c r="C329">
        <v>450</v>
      </c>
      <c r="D329">
        <f t="shared" si="20"/>
        <v>468</v>
      </c>
      <c r="E329">
        <f t="shared" si="21"/>
        <v>655.20000000000005</v>
      </c>
      <c r="F329">
        <f t="shared" si="22"/>
        <v>47.25</v>
      </c>
      <c r="G329">
        <f t="shared" si="23"/>
        <v>702.45</v>
      </c>
    </row>
    <row r="330" spans="1:9" x14ac:dyDescent="0.25">
      <c r="A330" t="s">
        <v>658</v>
      </c>
      <c r="B330" t="s">
        <v>659</v>
      </c>
      <c r="C330">
        <v>64</v>
      </c>
      <c r="D330">
        <f t="shared" si="20"/>
        <v>66.56</v>
      </c>
      <c r="E330">
        <f t="shared" si="21"/>
        <v>93.183999999999997</v>
      </c>
      <c r="F330">
        <f t="shared" si="22"/>
        <v>6.72</v>
      </c>
      <c r="G330">
        <f t="shared" si="23"/>
        <v>99.903999999999996</v>
      </c>
    </row>
    <row r="331" spans="1:9" x14ac:dyDescent="0.25">
      <c r="A331" t="s">
        <v>662</v>
      </c>
      <c r="B331" t="s">
        <v>660</v>
      </c>
      <c r="C331">
        <v>64</v>
      </c>
      <c r="D331">
        <f t="shared" si="20"/>
        <v>66.56</v>
      </c>
      <c r="E331">
        <f t="shared" si="21"/>
        <v>93.183999999999997</v>
      </c>
      <c r="F331">
        <f t="shared" si="22"/>
        <v>6.72</v>
      </c>
      <c r="G331">
        <f t="shared" si="23"/>
        <v>99.903999999999996</v>
      </c>
    </row>
    <row r="332" spans="1:9" x14ac:dyDescent="0.25">
      <c r="A332" t="s">
        <v>663</v>
      </c>
      <c r="B332" t="s">
        <v>664</v>
      </c>
      <c r="C332">
        <v>9600</v>
      </c>
      <c r="D332">
        <f t="shared" si="20"/>
        <v>9984</v>
      </c>
      <c r="E332">
        <f t="shared" si="21"/>
        <v>13977.6</v>
      </c>
      <c r="F332">
        <f t="shared" si="22"/>
        <v>1008</v>
      </c>
      <c r="G332">
        <f t="shared" si="23"/>
        <v>14985.6</v>
      </c>
    </row>
    <row r="333" spans="1:9" x14ac:dyDescent="0.25">
      <c r="A333" t="s">
        <v>665</v>
      </c>
      <c r="B333" t="s">
        <v>666</v>
      </c>
      <c r="C333">
        <v>1850</v>
      </c>
      <c r="D333">
        <f t="shared" si="20"/>
        <v>1924</v>
      </c>
      <c r="E333">
        <f t="shared" si="21"/>
        <v>2693.6</v>
      </c>
      <c r="F333">
        <f t="shared" si="22"/>
        <v>194.25</v>
      </c>
      <c r="G333">
        <f t="shared" si="23"/>
        <v>2887.85</v>
      </c>
    </row>
    <row r="334" spans="1:9" x14ac:dyDescent="0.25">
      <c r="A334" t="s">
        <v>668</v>
      </c>
      <c r="B334" t="s">
        <v>671</v>
      </c>
      <c r="C334">
        <v>3700</v>
      </c>
      <c r="D334">
        <f t="shared" si="20"/>
        <v>3848</v>
      </c>
      <c r="E334">
        <f t="shared" si="21"/>
        <v>5387.2</v>
      </c>
      <c r="F334">
        <f t="shared" si="22"/>
        <v>388.5</v>
      </c>
      <c r="G334">
        <f t="shared" si="23"/>
        <v>5775.7</v>
      </c>
    </row>
    <row r="335" spans="1:9" x14ac:dyDescent="0.25">
      <c r="A335" t="s">
        <v>669</v>
      </c>
      <c r="B335" t="s">
        <v>672</v>
      </c>
      <c r="C335">
        <v>3600</v>
      </c>
      <c r="D335">
        <f t="shared" si="20"/>
        <v>3744</v>
      </c>
      <c r="E335">
        <f t="shared" si="21"/>
        <v>5241.6000000000004</v>
      </c>
      <c r="F335">
        <f t="shared" si="22"/>
        <v>378</v>
      </c>
      <c r="G335">
        <f t="shared" si="23"/>
        <v>5619.6</v>
      </c>
    </row>
    <row r="336" spans="1:9" x14ac:dyDescent="0.25">
      <c r="A336" t="s">
        <v>670</v>
      </c>
      <c r="B336" t="s">
        <v>673</v>
      </c>
      <c r="C336">
        <v>45000</v>
      </c>
      <c r="D336">
        <f t="shared" si="20"/>
        <v>46800</v>
      </c>
      <c r="E336">
        <f t="shared" si="21"/>
        <v>65520</v>
      </c>
      <c r="F336">
        <f t="shared" si="22"/>
        <v>4725</v>
      </c>
      <c r="G336">
        <f t="shared" si="23"/>
        <v>70245</v>
      </c>
    </row>
    <row r="337" spans="1:7" x14ac:dyDescent="0.25">
      <c r="A337" t="s">
        <v>678</v>
      </c>
      <c r="B337" t="s">
        <v>679</v>
      </c>
      <c r="C337">
        <v>4100</v>
      </c>
      <c r="D337">
        <f t="shared" si="20"/>
        <v>4264</v>
      </c>
      <c r="E337">
        <f t="shared" si="21"/>
        <v>5969.6</v>
      </c>
      <c r="F337">
        <f t="shared" si="22"/>
        <v>430.5</v>
      </c>
      <c r="G337">
        <f t="shared" si="23"/>
        <v>6400.1</v>
      </c>
    </row>
    <row r="338" spans="1:7" x14ac:dyDescent="0.25">
      <c r="A338" t="s">
        <v>680</v>
      </c>
      <c r="B338" t="s">
        <v>682</v>
      </c>
      <c r="C338">
        <v>1000</v>
      </c>
      <c r="D338">
        <f t="shared" si="20"/>
        <v>1040</v>
      </c>
      <c r="E338">
        <f t="shared" si="21"/>
        <v>1456</v>
      </c>
      <c r="F338">
        <f t="shared" si="22"/>
        <v>105</v>
      </c>
      <c r="G338">
        <f t="shared" si="23"/>
        <v>1561</v>
      </c>
    </row>
    <row r="339" spans="1:7" x14ac:dyDescent="0.25">
      <c r="A339" t="s">
        <v>681</v>
      </c>
      <c r="B339" t="s">
        <v>683</v>
      </c>
      <c r="C339">
        <v>1500</v>
      </c>
      <c r="D339">
        <f t="shared" si="20"/>
        <v>1560</v>
      </c>
      <c r="E339">
        <f t="shared" si="21"/>
        <v>2184</v>
      </c>
      <c r="F339">
        <f t="shared" si="22"/>
        <v>157.5</v>
      </c>
      <c r="G339">
        <f t="shared" si="23"/>
        <v>2341.5</v>
      </c>
    </row>
    <row r="340" spans="1:7" x14ac:dyDescent="0.25">
      <c r="A340" t="s">
        <v>684</v>
      </c>
      <c r="B340" t="s">
        <v>687</v>
      </c>
      <c r="C340">
        <v>450</v>
      </c>
      <c r="D340">
        <f t="shared" si="20"/>
        <v>468</v>
      </c>
      <c r="E340">
        <f t="shared" si="21"/>
        <v>655.20000000000005</v>
      </c>
      <c r="F340">
        <f t="shared" si="22"/>
        <v>47.25</v>
      </c>
      <c r="G340">
        <f t="shared" si="23"/>
        <v>702.45</v>
      </c>
    </row>
    <row r="341" spans="1:7" x14ac:dyDescent="0.25">
      <c r="A341" t="s">
        <v>685</v>
      </c>
      <c r="B341" t="s">
        <v>686</v>
      </c>
      <c r="C341">
        <v>19770</v>
      </c>
      <c r="D341">
        <f t="shared" si="20"/>
        <v>20560.8</v>
      </c>
      <c r="E341">
        <f t="shared" si="21"/>
        <v>28785.119999999999</v>
      </c>
      <c r="F341">
        <f t="shared" si="22"/>
        <v>2075.85</v>
      </c>
      <c r="G341">
        <f t="shared" si="23"/>
        <v>30860.969999999998</v>
      </c>
    </row>
    <row r="342" spans="1:7" x14ac:dyDescent="0.25">
      <c r="A342" t="s">
        <v>688</v>
      </c>
      <c r="B342" t="s">
        <v>689</v>
      </c>
      <c r="C342">
        <v>9907</v>
      </c>
      <c r="D342">
        <f t="shared" si="20"/>
        <v>10303.280000000001</v>
      </c>
      <c r="E342">
        <f t="shared" si="21"/>
        <v>14424.592000000001</v>
      </c>
      <c r="F342">
        <f t="shared" si="22"/>
        <v>1040.2349999999999</v>
      </c>
      <c r="G342">
        <f t="shared" si="23"/>
        <v>15464.827000000001</v>
      </c>
    </row>
    <row r="343" spans="1:7" x14ac:dyDescent="0.25">
      <c r="A343" t="s">
        <v>690</v>
      </c>
      <c r="B343" t="s">
        <v>691</v>
      </c>
      <c r="C343">
        <v>12</v>
      </c>
      <c r="D343">
        <f t="shared" si="20"/>
        <v>12.48</v>
      </c>
      <c r="E343">
        <f t="shared" si="21"/>
        <v>17.472000000000001</v>
      </c>
      <c r="F343">
        <f t="shared" si="22"/>
        <v>1.26</v>
      </c>
      <c r="G343">
        <f t="shared" si="23"/>
        <v>18.732000000000003</v>
      </c>
    </row>
    <row r="344" spans="1:7" x14ac:dyDescent="0.25">
      <c r="A344" t="s">
        <v>692</v>
      </c>
      <c r="B344" t="s">
        <v>693</v>
      </c>
      <c r="C344">
        <v>900</v>
      </c>
      <c r="D344">
        <f t="shared" si="20"/>
        <v>936</v>
      </c>
      <c r="E344">
        <f t="shared" si="21"/>
        <v>1310.4000000000001</v>
      </c>
      <c r="F344">
        <f t="shared" si="22"/>
        <v>94.5</v>
      </c>
      <c r="G344">
        <f t="shared" si="23"/>
        <v>1404.9</v>
      </c>
    </row>
    <row r="345" spans="1:7" x14ac:dyDescent="0.25">
      <c r="A345" t="s">
        <v>694</v>
      </c>
      <c r="B345" t="s">
        <v>695</v>
      </c>
      <c r="C345">
        <v>1800</v>
      </c>
      <c r="D345">
        <f t="shared" si="20"/>
        <v>1872</v>
      </c>
      <c r="E345">
        <f t="shared" si="21"/>
        <v>2620.8000000000002</v>
      </c>
      <c r="F345">
        <f t="shared" si="22"/>
        <v>189</v>
      </c>
      <c r="G345">
        <f t="shared" si="23"/>
        <v>2809.8</v>
      </c>
    </row>
    <row r="346" spans="1:7" x14ac:dyDescent="0.25">
      <c r="A346" t="s">
        <v>696</v>
      </c>
      <c r="B346" t="s">
        <v>697</v>
      </c>
      <c r="C346">
        <v>288</v>
      </c>
      <c r="D346">
        <f t="shared" si="20"/>
        <v>299.52</v>
      </c>
      <c r="E346">
        <f t="shared" si="21"/>
        <v>419.32799999999997</v>
      </c>
      <c r="F346">
        <f t="shared" si="22"/>
        <v>30.24</v>
      </c>
      <c r="G346">
        <f t="shared" si="23"/>
        <v>449.56799999999998</v>
      </c>
    </row>
    <row r="347" spans="1:7" x14ac:dyDescent="0.25">
      <c r="A347" t="s">
        <v>698</v>
      </c>
      <c r="B347" t="s">
        <v>699</v>
      </c>
      <c r="C347">
        <v>352</v>
      </c>
      <c r="D347">
        <f t="shared" si="20"/>
        <v>366.08</v>
      </c>
      <c r="E347">
        <f t="shared" si="21"/>
        <v>512.51199999999994</v>
      </c>
      <c r="F347">
        <f t="shared" si="22"/>
        <v>36.96</v>
      </c>
      <c r="G347">
        <f t="shared" si="23"/>
        <v>549.47199999999998</v>
      </c>
    </row>
    <row r="348" spans="1:7" x14ac:dyDescent="0.25">
      <c r="A348" t="s">
        <v>700</v>
      </c>
      <c r="B348" t="s">
        <v>701</v>
      </c>
      <c r="C348">
        <v>384</v>
      </c>
      <c r="D348">
        <f t="shared" si="20"/>
        <v>399.36</v>
      </c>
      <c r="E348">
        <f t="shared" si="21"/>
        <v>559.10400000000004</v>
      </c>
      <c r="F348">
        <f t="shared" si="22"/>
        <v>40.32</v>
      </c>
      <c r="G348">
        <f t="shared" si="23"/>
        <v>599.42400000000009</v>
      </c>
    </row>
    <row r="349" spans="1:7" x14ac:dyDescent="0.25">
      <c r="A349" t="s">
        <v>702</v>
      </c>
      <c r="B349" t="s">
        <v>703</v>
      </c>
      <c r="C349">
        <v>640</v>
      </c>
      <c r="D349">
        <f t="shared" si="20"/>
        <v>665.6</v>
      </c>
      <c r="E349">
        <f t="shared" si="21"/>
        <v>931.84</v>
      </c>
      <c r="F349">
        <f t="shared" si="22"/>
        <v>67.2</v>
      </c>
      <c r="G349">
        <f t="shared" si="23"/>
        <v>999.04000000000008</v>
      </c>
    </row>
    <row r="350" spans="1:7" x14ac:dyDescent="0.25">
      <c r="A350" t="s">
        <v>704</v>
      </c>
      <c r="B350" t="s">
        <v>705</v>
      </c>
      <c r="C350">
        <v>640</v>
      </c>
      <c r="D350">
        <f t="shared" si="20"/>
        <v>665.6</v>
      </c>
      <c r="E350">
        <f t="shared" si="21"/>
        <v>931.84</v>
      </c>
      <c r="F350">
        <f t="shared" si="22"/>
        <v>67.2</v>
      </c>
      <c r="G350">
        <f t="shared" si="23"/>
        <v>999.04000000000008</v>
      </c>
    </row>
    <row r="351" spans="1:7" x14ac:dyDescent="0.25">
      <c r="A351" t="s">
        <v>706</v>
      </c>
      <c r="B351" t="s">
        <v>707</v>
      </c>
      <c r="C351">
        <v>832</v>
      </c>
      <c r="D351">
        <f t="shared" si="20"/>
        <v>865.28</v>
      </c>
      <c r="E351">
        <f t="shared" si="21"/>
        <v>1211.3920000000001</v>
      </c>
      <c r="F351">
        <f t="shared" si="22"/>
        <v>87.36</v>
      </c>
      <c r="G351">
        <f t="shared" si="23"/>
        <v>1298.752</v>
      </c>
    </row>
    <row r="352" spans="1:7" x14ac:dyDescent="0.25">
      <c r="A352" t="s">
        <v>708</v>
      </c>
      <c r="B352" t="s">
        <v>709</v>
      </c>
      <c r="C352">
        <v>640</v>
      </c>
      <c r="D352">
        <f t="shared" si="20"/>
        <v>665.6</v>
      </c>
      <c r="E352">
        <f t="shared" si="21"/>
        <v>931.84</v>
      </c>
      <c r="F352">
        <f t="shared" si="22"/>
        <v>67.2</v>
      </c>
      <c r="G352">
        <f t="shared" si="23"/>
        <v>999.04000000000008</v>
      </c>
    </row>
    <row r="353" spans="1:7" x14ac:dyDescent="0.25">
      <c r="A353" t="s">
        <v>710</v>
      </c>
      <c r="B353" t="s">
        <v>711</v>
      </c>
      <c r="C353">
        <v>640</v>
      </c>
      <c r="D353">
        <f t="shared" si="20"/>
        <v>665.6</v>
      </c>
      <c r="E353">
        <f t="shared" si="21"/>
        <v>931.84</v>
      </c>
      <c r="F353">
        <f t="shared" si="22"/>
        <v>67.2</v>
      </c>
      <c r="G353">
        <f t="shared" si="23"/>
        <v>999.04000000000008</v>
      </c>
    </row>
    <row r="354" spans="1:7" x14ac:dyDescent="0.25">
      <c r="A354" t="s">
        <v>712</v>
      </c>
      <c r="B354" t="s">
        <v>713</v>
      </c>
      <c r="C354">
        <v>832</v>
      </c>
      <c r="D354">
        <f t="shared" si="20"/>
        <v>865.28</v>
      </c>
      <c r="E354">
        <f t="shared" si="21"/>
        <v>1211.3920000000001</v>
      </c>
      <c r="F354">
        <f t="shared" si="22"/>
        <v>87.36</v>
      </c>
      <c r="G354">
        <f t="shared" si="23"/>
        <v>1298.752</v>
      </c>
    </row>
    <row r="355" spans="1:7" x14ac:dyDescent="0.25">
      <c r="A355" t="s">
        <v>714</v>
      </c>
      <c r="B355" t="s">
        <v>715</v>
      </c>
      <c r="C355">
        <v>3880.8</v>
      </c>
      <c r="D355">
        <f t="shared" si="20"/>
        <v>4036.0320000000002</v>
      </c>
      <c r="E355">
        <f t="shared" si="21"/>
        <v>5650.4448000000002</v>
      </c>
      <c r="F355">
        <f t="shared" si="22"/>
        <v>407.48399999999998</v>
      </c>
      <c r="G355">
        <f t="shared" si="23"/>
        <v>6057.9288000000006</v>
      </c>
    </row>
    <row r="356" spans="1:7" x14ac:dyDescent="0.25">
      <c r="A356" s="2" t="s">
        <v>716</v>
      </c>
      <c r="B356" t="s">
        <v>717</v>
      </c>
      <c r="C356">
        <v>17150.400000000001</v>
      </c>
      <c r="D356">
        <f t="shared" si="20"/>
        <v>17836.416000000001</v>
      </c>
      <c r="E356">
        <f t="shared" si="21"/>
        <v>24970.982400000001</v>
      </c>
      <c r="F356">
        <f t="shared" si="22"/>
        <v>1800.7920000000001</v>
      </c>
      <c r="G356">
        <f t="shared" si="23"/>
        <v>26771.774400000002</v>
      </c>
    </row>
    <row r="357" spans="1:7" x14ac:dyDescent="0.25">
      <c r="A357" t="s">
        <v>718</v>
      </c>
      <c r="B357" t="s">
        <v>719</v>
      </c>
      <c r="C357">
        <v>28166.3</v>
      </c>
      <c r="D357">
        <f t="shared" si="20"/>
        <v>29292.951999999997</v>
      </c>
      <c r="E357">
        <f t="shared" si="21"/>
        <v>41010.132799999999</v>
      </c>
      <c r="F357">
        <f t="shared" si="22"/>
        <v>2957.4614999999999</v>
      </c>
      <c r="G357">
        <f t="shared" si="23"/>
        <v>43967.594299999997</v>
      </c>
    </row>
    <row r="358" spans="1:7" x14ac:dyDescent="0.25">
      <c r="A358" t="s">
        <v>720</v>
      </c>
      <c r="B358" t="s">
        <v>721</v>
      </c>
      <c r="C358">
        <v>148010</v>
      </c>
      <c r="D358">
        <f t="shared" si="20"/>
        <v>153930.4</v>
      </c>
      <c r="E358">
        <f t="shared" si="21"/>
        <v>215502.56</v>
      </c>
      <c r="F358">
        <f t="shared" si="22"/>
        <v>15541.05</v>
      </c>
      <c r="G358">
        <f t="shared" si="23"/>
        <v>231043.61</v>
      </c>
    </row>
    <row r="359" spans="1:7" x14ac:dyDescent="0.25">
      <c r="A359" t="s">
        <v>722</v>
      </c>
      <c r="B359" t="s">
        <v>723</v>
      </c>
      <c r="C359">
        <v>14809.6</v>
      </c>
      <c r="D359">
        <f t="shared" si="20"/>
        <v>15401.984</v>
      </c>
      <c r="E359">
        <f t="shared" si="21"/>
        <v>21562.777600000001</v>
      </c>
      <c r="F359">
        <f t="shared" si="22"/>
        <v>1555.008</v>
      </c>
      <c r="G359">
        <f t="shared" si="23"/>
        <v>23117.785600000003</v>
      </c>
    </row>
    <row r="360" spans="1:7" x14ac:dyDescent="0.25">
      <c r="A360" t="s">
        <v>724</v>
      </c>
      <c r="B360" t="s">
        <v>725</v>
      </c>
      <c r="C360">
        <v>220</v>
      </c>
      <c r="D360">
        <f t="shared" si="20"/>
        <v>228.8</v>
      </c>
      <c r="E360">
        <f t="shared" si="21"/>
        <v>320.32000000000005</v>
      </c>
      <c r="F360">
        <f t="shared" si="22"/>
        <v>23.099999999999998</v>
      </c>
      <c r="G360">
        <f t="shared" si="23"/>
        <v>343.42000000000007</v>
      </c>
    </row>
    <row r="361" spans="1:7" x14ac:dyDescent="0.25">
      <c r="A361" t="s">
        <v>726</v>
      </c>
      <c r="B361" t="s">
        <v>727</v>
      </c>
      <c r="C361">
        <v>5632</v>
      </c>
      <c r="D361">
        <f t="shared" si="20"/>
        <v>5857.28</v>
      </c>
      <c r="E361">
        <f t="shared" si="21"/>
        <v>8200.1919999999991</v>
      </c>
      <c r="F361">
        <f t="shared" si="22"/>
        <v>591.36</v>
      </c>
      <c r="G361">
        <f t="shared" si="23"/>
        <v>8791.5519999999997</v>
      </c>
    </row>
    <row r="362" spans="1:7" x14ac:dyDescent="0.25">
      <c r="A362" t="s">
        <v>728</v>
      </c>
      <c r="B362" t="s">
        <v>729</v>
      </c>
      <c r="C362">
        <v>5145.6000000000004</v>
      </c>
      <c r="D362">
        <f t="shared" si="20"/>
        <v>5351.424</v>
      </c>
      <c r="E362">
        <f t="shared" si="21"/>
        <v>7491.9935999999998</v>
      </c>
      <c r="F362">
        <f t="shared" si="22"/>
        <v>540.28800000000001</v>
      </c>
      <c r="G362">
        <f t="shared" si="23"/>
        <v>8032.2816000000003</v>
      </c>
    </row>
    <row r="363" spans="1:7" x14ac:dyDescent="0.25">
      <c r="A363" t="s">
        <v>730</v>
      </c>
      <c r="B363" t="s">
        <v>731</v>
      </c>
      <c r="C363">
        <v>5850</v>
      </c>
      <c r="D363">
        <f t="shared" si="20"/>
        <v>6084</v>
      </c>
      <c r="E363">
        <f t="shared" si="21"/>
        <v>8517.6</v>
      </c>
      <c r="F363">
        <f t="shared" si="22"/>
        <v>614.25</v>
      </c>
      <c r="G363">
        <f t="shared" si="23"/>
        <v>9131.85</v>
      </c>
    </row>
    <row r="364" spans="1:7" x14ac:dyDescent="0.25">
      <c r="A364" t="s">
        <v>732</v>
      </c>
      <c r="B364" t="s">
        <v>733</v>
      </c>
      <c r="C364">
        <v>1390</v>
      </c>
      <c r="D364">
        <f t="shared" si="20"/>
        <v>1445.6</v>
      </c>
      <c r="E364">
        <f t="shared" si="21"/>
        <v>2023.84</v>
      </c>
      <c r="F364">
        <f t="shared" si="22"/>
        <v>145.94999999999999</v>
      </c>
      <c r="G364">
        <f t="shared" si="23"/>
        <v>2169.79</v>
      </c>
    </row>
    <row r="365" spans="1:7" x14ac:dyDescent="0.25">
      <c r="A365" t="s">
        <v>734</v>
      </c>
      <c r="B365" t="s">
        <v>735</v>
      </c>
      <c r="C365">
        <v>3300</v>
      </c>
      <c r="D365">
        <f t="shared" si="20"/>
        <v>3432</v>
      </c>
      <c r="E365">
        <f t="shared" si="21"/>
        <v>4804.8</v>
      </c>
      <c r="F365">
        <f t="shared" si="22"/>
        <v>346.5</v>
      </c>
      <c r="G365">
        <f t="shared" si="23"/>
        <v>5151.3</v>
      </c>
    </row>
    <row r="366" spans="1:7" x14ac:dyDescent="0.25">
      <c r="A366" t="s">
        <v>736</v>
      </c>
      <c r="B366" t="s">
        <v>737</v>
      </c>
      <c r="C366">
        <v>441.6</v>
      </c>
      <c r="D366">
        <f t="shared" si="20"/>
        <v>459.26400000000001</v>
      </c>
      <c r="E366">
        <f t="shared" si="21"/>
        <v>642.96960000000001</v>
      </c>
      <c r="F366">
        <f t="shared" si="22"/>
        <v>46.368000000000002</v>
      </c>
      <c r="G366">
        <f t="shared" si="23"/>
        <v>689.33760000000007</v>
      </c>
    </row>
    <row r="367" spans="1:7" x14ac:dyDescent="0.25">
      <c r="A367" t="s">
        <v>738</v>
      </c>
      <c r="B367" t="s">
        <v>739</v>
      </c>
      <c r="C367">
        <v>17650</v>
      </c>
      <c r="D367">
        <f t="shared" si="20"/>
        <v>18356</v>
      </c>
      <c r="E367">
        <f t="shared" si="21"/>
        <v>25698.400000000001</v>
      </c>
      <c r="F367">
        <f t="shared" si="22"/>
        <v>1853.25</v>
      </c>
      <c r="G367">
        <f t="shared" si="23"/>
        <v>27551.65</v>
      </c>
    </row>
    <row r="368" spans="1:7" x14ac:dyDescent="0.25">
      <c r="A368" t="s">
        <v>740</v>
      </c>
      <c r="B368" t="s">
        <v>741</v>
      </c>
      <c r="C368">
        <v>17790</v>
      </c>
      <c r="D368">
        <f t="shared" si="20"/>
        <v>18501.599999999999</v>
      </c>
      <c r="E368">
        <f t="shared" si="21"/>
        <v>25902.239999999998</v>
      </c>
      <c r="F368">
        <f t="shared" si="22"/>
        <v>1867.9499999999998</v>
      </c>
      <c r="G368">
        <f t="shared" si="23"/>
        <v>27770.19</v>
      </c>
    </row>
    <row r="369" spans="1:7" x14ac:dyDescent="0.25">
      <c r="A369" t="s">
        <v>742</v>
      </c>
      <c r="B369" t="s">
        <v>743</v>
      </c>
      <c r="C369">
        <v>3400</v>
      </c>
      <c r="D369">
        <f t="shared" si="20"/>
        <v>3536</v>
      </c>
      <c r="E369">
        <f t="shared" si="21"/>
        <v>4950.3999999999996</v>
      </c>
      <c r="F369">
        <f t="shared" si="22"/>
        <v>357</v>
      </c>
      <c r="G369">
        <f t="shared" si="23"/>
        <v>5307.4</v>
      </c>
    </row>
    <row r="370" spans="1:7" x14ac:dyDescent="0.25">
      <c r="A370" t="s">
        <v>744</v>
      </c>
      <c r="B370" t="s">
        <v>745</v>
      </c>
      <c r="C370">
        <v>5090</v>
      </c>
      <c r="D370">
        <f t="shared" si="20"/>
        <v>5293.6</v>
      </c>
      <c r="E370">
        <f t="shared" si="21"/>
        <v>7411.0400000000009</v>
      </c>
      <c r="F370">
        <f t="shared" si="22"/>
        <v>534.44999999999993</v>
      </c>
      <c r="G370">
        <f t="shared" si="23"/>
        <v>7945.4900000000007</v>
      </c>
    </row>
    <row r="371" spans="1:7" x14ac:dyDescent="0.25">
      <c r="A371" t="s">
        <v>746</v>
      </c>
      <c r="B371" t="s">
        <v>747</v>
      </c>
      <c r="C371">
        <v>1850</v>
      </c>
      <c r="D371">
        <f t="shared" si="20"/>
        <v>1924</v>
      </c>
      <c r="E371">
        <f t="shared" si="21"/>
        <v>2693.6</v>
      </c>
      <c r="F371">
        <f t="shared" si="22"/>
        <v>194.25</v>
      </c>
      <c r="G371">
        <f t="shared" si="23"/>
        <v>2887.85</v>
      </c>
    </row>
    <row r="372" spans="1:7" x14ac:dyDescent="0.25">
      <c r="A372" t="s">
        <v>748</v>
      </c>
      <c r="B372" t="s">
        <v>749</v>
      </c>
      <c r="C372">
        <v>1990</v>
      </c>
      <c r="D372">
        <f t="shared" si="20"/>
        <v>2069.6</v>
      </c>
      <c r="E372">
        <f t="shared" si="21"/>
        <v>2897.44</v>
      </c>
      <c r="F372">
        <f t="shared" si="22"/>
        <v>208.95</v>
      </c>
      <c r="G372">
        <f t="shared" si="23"/>
        <v>3106.39</v>
      </c>
    </row>
    <row r="373" spans="1:7" x14ac:dyDescent="0.25">
      <c r="A373" t="s">
        <v>750</v>
      </c>
      <c r="B373" t="s">
        <v>751</v>
      </c>
      <c r="C373">
        <v>7360</v>
      </c>
      <c r="D373">
        <f t="shared" si="20"/>
        <v>7654.4</v>
      </c>
      <c r="E373">
        <f t="shared" si="21"/>
        <v>10716.16</v>
      </c>
      <c r="F373">
        <f t="shared" si="22"/>
        <v>772.8</v>
      </c>
      <c r="G373">
        <f t="shared" si="23"/>
        <v>11488.96</v>
      </c>
    </row>
    <row r="374" spans="1:7" x14ac:dyDescent="0.25">
      <c r="A374" t="s">
        <v>752</v>
      </c>
      <c r="B374" t="s">
        <v>753</v>
      </c>
      <c r="C374">
        <v>18360</v>
      </c>
      <c r="D374">
        <f t="shared" si="20"/>
        <v>19094.400000000001</v>
      </c>
      <c r="E374">
        <f t="shared" si="21"/>
        <v>26732.160000000003</v>
      </c>
      <c r="F374">
        <f t="shared" si="22"/>
        <v>1927.8</v>
      </c>
      <c r="G374">
        <f t="shared" si="23"/>
        <v>28659.960000000003</v>
      </c>
    </row>
    <row r="375" spans="1:7" x14ac:dyDescent="0.25">
      <c r="A375" t="s">
        <v>754</v>
      </c>
      <c r="B375" t="s">
        <v>755</v>
      </c>
      <c r="C375">
        <v>8606.2999999999993</v>
      </c>
      <c r="D375">
        <f t="shared" si="20"/>
        <v>8950.5519999999997</v>
      </c>
      <c r="E375">
        <f t="shared" si="21"/>
        <v>12530.772799999999</v>
      </c>
      <c r="F375">
        <f t="shared" si="22"/>
        <v>903.66149999999993</v>
      </c>
      <c r="G375">
        <f t="shared" si="23"/>
        <v>13434.434299999999</v>
      </c>
    </row>
    <row r="376" spans="1:7" x14ac:dyDescent="0.25">
      <c r="A376" t="s">
        <v>756</v>
      </c>
      <c r="B376" t="s">
        <v>757</v>
      </c>
      <c r="C376">
        <v>5362.4</v>
      </c>
      <c r="D376">
        <f t="shared" si="20"/>
        <v>5576.8959999999997</v>
      </c>
      <c r="E376">
        <f t="shared" si="21"/>
        <v>7807.6543999999994</v>
      </c>
      <c r="F376">
        <f t="shared" si="22"/>
        <v>563.05199999999991</v>
      </c>
      <c r="G376">
        <f t="shared" si="23"/>
        <v>8370.7063999999991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Vendedor Mostrador</dc:creator>
  <cp:lastModifiedBy>Fraan_v1@hotmail.com</cp:lastModifiedBy>
  <dcterms:created xsi:type="dcterms:W3CDTF">2015-06-05T18:19:34Z</dcterms:created>
  <dcterms:modified xsi:type="dcterms:W3CDTF">2026-07-04T18:34:38Z</dcterms:modified>
</cp:coreProperties>
</file>