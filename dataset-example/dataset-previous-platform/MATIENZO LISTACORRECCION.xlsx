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raan\Downloads\Administralo\ThomsFerreteria\04-07\"/>
    </mc:Choice>
  </mc:AlternateContent>
  <bookViews>
    <workbookView xWindow="2985" yWindow="2985" windowWidth="21600" windowHeight="11295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3" i="1" l="1"/>
  <c r="F23" i="1" s="1"/>
  <c r="E26" i="1"/>
  <c r="E27" i="1"/>
  <c r="E28" i="1"/>
  <c r="D23" i="1"/>
  <c r="D24" i="1"/>
  <c r="E24" i="1" s="1"/>
  <c r="D25" i="1"/>
  <c r="E25" i="1" s="1"/>
  <c r="D26" i="1"/>
  <c r="D27" i="1"/>
  <c r="D28" i="1"/>
  <c r="D22" i="1"/>
  <c r="E22" i="1" s="1"/>
  <c r="D21" i="1"/>
  <c r="E21" i="1" s="1"/>
  <c r="D20" i="1"/>
  <c r="E20" i="1" s="1"/>
  <c r="D19" i="1"/>
  <c r="E19" i="1" s="1"/>
  <c r="D18" i="1"/>
  <c r="E18" i="1" s="1"/>
  <c r="F18" i="1" s="1"/>
  <c r="D4" i="1"/>
  <c r="E4" i="1" s="1"/>
  <c r="F4" i="1" s="1"/>
  <c r="D5" i="1"/>
  <c r="E5" i="1" s="1"/>
  <c r="F5" i="1" s="1"/>
  <c r="G5" i="1" s="1"/>
  <c r="I5" i="1" s="1"/>
  <c r="D6" i="1"/>
  <c r="E6" i="1" s="1"/>
  <c r="F6" i="1" s="1"/>
  <c r="G6" i="1" s="1"/>
  <c r="I6" i="1" s="1"/>
  <c r="D7" i="1"/>
  <c r="E7" i="1" s="1"/>
  <c r="F7" i="1" s="1"/>
  <c r="G7" i="1" s="1"/>
  <c r="I7" i="1" s="1"/>
  <c r="D8" i="1"/>
  <c r="E8" i="1" s="1"/>
  <c r="F8" i="1" s="1"/>
  <c r="G8" i="1" s="1"/>
  <c r="I8" i="1" s="1"/>
  <c r="D9" i="1"/>
  <c r="E9" i="1" s="1"/>
  <c r="D10" i="1"/>
  <c r="E10" i="1" s="1"/>
  <c r="D11" i="1"/>
  <c r="E11" i="1" s="1"/>
  <c r="D12" i="1"/>
  <c r="E12" i="1" s="1"/>
  <c r="D13" i="1"/>
  <c r="E13" i="1" s="1"/>
  <c r="F13" i="1" s="1"/>
  <c r="D14" i="1"/>
  <c r="E14" i="1" s="1"/>
  <c r="D15" i="1"/>
  <c r="E15" i="1" s="1"/>
  <c r="D16" i="1"/>
  <c r="E16" i="1" s="1"/>
  <c r="D17" i="1"/>
  <c r="E17" i="1" s="1"/>
  <c r="F17" i="1" s="1"/>
  <c r="G17" i="1" s="1"/>
  <c r="I17" i="1" s="1"/>
  <c r="E3" i="1"/>
  <c r="F3" i="1" s="1"/>
  <c r="D3" i="1"/>
  <c r="F28" i="1" l="1"/>
  <c r="G28" i="1" s="1"/>
  <c r="I28" i="1" s="1"/>
  <c r="F27" i="1"/>
  <c r="G27" i="1" s="1"/>
  <c r="I27" i="1" s="1"/>
  <c r="F26" i="1"/>
  <c r="G26" i="1" s="1"/>
  <c r="I26" i="1" s="1"/>
  <c r="F25" i="1"/>
  <c r="G25" i="1" s="1"/>
  <c r="I25" i="1" s="1"/>
  <c r="F24" i="1"/>
  <c r="G24" i="1" s="1"/>
  <c r="I24" i="1" s="1"/>
  <c r="G23" i="1"/>
  <c r="I23" i="1" s="1"/>
  <c r="F22" i="1"/>
  <c r="G22" i="1" s="1"/>
  <c r="I22" i="1" s="1"/>
  <c r="F14" i="1"/>
  <c r="G14" i="1" s="1"/>
  <c r="I14" i="1" s="1"/>
  <c r="G4" i="1"/>
  <c r="I4" i="1" s="1"/>
  <c r="G3" i="1"/>
  <c r="I3" i="1" s="1"/>
  <c r="F11" i="1"/>
  <c r="G11" i="1" s="1"/>
  <c r="I11" i="1" s="1"/>
  <c r="G13" i="1"/>
  <c r="I13" i="1" s="1"/>
  <c r="F10" i="1"/>
  <c r="G10" i="1" s="1"/>
  <c r="I10" i="1" s="1"/>
  <c r="F9" i="1"/>
  <c r="G9" i="1" s="1"/>
  <c r="I9" i="1" s="1"/>
  <c r="F16" i="1"/>
  <c r="G16" i="1" s="1"/>
  <c r="I16" i="1" s="1"/>
  <c r="F15" i="1"/>
  <c r="G15" i="1" s="1"/>
  <c r="I15" i="1" s="1"/>
  <c r="F12" i="1"/>
  <c r="G12" i="1" s="1"/>
  <c r="I12" i="1" s="1"/>
  <c r="F21" i="1"/>
  <c r="G21" i="1"/>
  <c r="I21" i="1" s="1"/>
  <c r="F20" i="1"/>
  <c r="G20" i="1"/>
  <c r="I20" i="1" s="1"/>
  <c r="F19" i="1"/>
  <c r="G19" i="1" s="1"/>
  <c r="I19" i="1" s="1"/>
  <c r="G18" i="1"/>
  <c r="I18" i="1" s="1"/>
</calcChain>
</file>

<file path=xl/sharedStrings.xml><?xml version="1.0" encoding="utf-8"?>
<sst xmlns="http://schemas.openxmlformats.org/spreadsheetml/2006/main" count="62" uniqueCount="61">
  <si>
    <t>codigo</t>
  </si>
  <si>
    <t>producto</t>
  </si>
  <si>
    <t>precio de costo</t>
  </si>
  <si>
    <t>ingreso bruto</t>
  </si>
  <si>
    <t>ganancia</t>
  </si>
  <si>
    <t>iva</t>
  </si>
  <si>
    <t>costo + iva</t>
  </si>
  <si>
    <t>stock</t>
  </si>
  <si>
    <t>% ganancia</t>
  </si>
  <si>
    <t>||||||</t>
  </si>
  <si>
    <t>|||||||</t>
  </si>
  <si>
    <t>30-887-1</t>
  </si>
  <si>
    <t>FLOR MARGARITA ALUMINIO C/TORNILLO 80-14 ALUM</t>
  </si>
  <si>
    <t>30-1093-1A</t>
  </si>
  <si>
    <t>GIRASOL MEDIANO C/TORNILLO 100-12</t>
  </si>
  <si>
    <t>30-750-2</t>
  </si>
  <si>
    <t>MARGARITA DOBLE CHICA D46-46-6</t>
  </si>
  <si>
    <t>14-143-4</t>
  </si>
  <si>
    <t>PASADOR PORTA CAND PERNO CURVO CHICO D9X140R</t>
  </si>
  <si>
    <t>14-144</t>
  </si>
  <si>
    <t>PASADOR CHICO FORJADO D11-180-115 HIERRO</t>
  </si>
  <si>
    <t>16-154</t>
  </si>
  <si>
    <t>CAJA CERROJO PLEGADA 96X77X25-77-96</t>
  </si>
  <si>
    <t>16-155</t>
  </si>
  <si>
    <t>CAJA CERRA UNIVERSAL CHICA PLEGADA 175X77X25-77</t>
  </si>
  <si>
    <t>18-152</t>
  </si>
  <si>
    <t>RODILLO GUIA CN TORNILLO DE 1/4 Y TUERCA D30-47-4</t>
  </si>
  <si>
    <t>28-643-1</t>
  </si>
  <si>
    <t>RIZO CRUZADO PANZON FORJADO 5/8X3/16 50X130-280</t>
  </si>
  <si>
    <t>14-130-1</t>
  </si>
  <si>
    <t>PASADOR PARA PISO CHICO SIN TRABA D9X200MM 32-1</t>
  </si>
  <si>
    <t>14-143-3</t>
  </si>
  <si>
    <t>PASA PISO C/PORTA CAN GRANDE C/TRABA D 14X330M</t>
  </si>
  <si>
    <t>18-151-L60</t>
  </si>
  <si>
    <t>RUEDA LIVIAN RULEMAN 6200 ZZ PERNO Y SEPAR D60</t>
  </si>
  <si>
    <t>18-151-L75</t>
  </si>
  <si>
    <t>RUEDA LIVIANA RULEMAN 6200ZZ PERNO Y SEPARD75</t>
  </si>
  <si>
    <t>18-151-L100</t>
  </si>
  <si>
    <t>RUEDA LIVIANA RULEMAN 6200ZZ PERNO Y SEPARAD 100</t>
  </si>
  <si>
    <t>152-50-IMP</t>
  </si>
  <si>
    <t>RUEDA  ACERO 50MM  V IMPORTADA</t>
  </si>
  <si>
    <t>10-125</t>
  </si>
  <si>
    <t>TAPA PIRAMIDE PLEGADA 100X100-100-75</t>
  </si>
  <si>
    <t>10-122</t>
  </si>
  <si>
    <t>TAPA PIRAMIDE PLEGADA 70X70-70-55CHAPA</t>
  </si>
  <si>
    <t>20-157-6</t>
  </si>
  <si>
    <t>PINCHES POR 1 MTS</t>
  </si>
  <si>
    <t>10-123</t>
  </si>
  <si>
    <t>TAPA PIRAMIDE PLEGADA 80X80-80-65 CHAPA</t>
  </si>
  <si>
    <t>12-135</t>
  </si>
  <si>
    <t>BISAGRA SOLDAR 1,1/4X3/46</t>
  </si>
  <si>
    <t>12-136</t>
  </si>
  <si>
    <t>BISAGRA P AMURAR 1 1/4X3/16</t>
  </si>
  <si>
    <t>12-136-2</t>
  </si>
  <si>
    <t xml:space="preserve">BISAGRA P SOLDAR 4X3 PESADA </t>
  </si>
  <si>
    <t>12-136-1</t>
  </si>
  <si>
    <t>BISAGRA P SOLDAR 4X1 PESADA</t>
  </si>
  <si>
    <t>KIT GRANERO ENCAST 1+1 2MTS 1/1/2X3/16</t>
  </si>
  <si>
    <t>18-152-4</t>
  </si>
  <si>
    <t>18-152-4A</t>
  </si>
  <si>
    <t>KIT GRANERO ENCAST 1+1,500MTS 1,1/2X3/16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</si>
</sst>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14.140625" customWidth="1"/>
    <col min="2" max="2" width="39.42578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C2" t="s">
        <v>10</v>
      </c>
      <c r="D2">
        <v>0.04</v>
      </c>
      <c r="E2">
        <v>0.3</v>
      </c>
      <c r="F2">
        <v>0.21</v>
      </c>
      <c r="G2" t="s">
        <v>9</v>
      </c>
      <c r="H2" t="s">
        <v>9</v>
      </c>
      <c r="I2">
        <v>0.6</v>
      </c>
    </row>
    <row r="3" spans="1:9" x14ac:dyDescent="0.25">
      <c r="D3">
        <f>C3+(C3*$D$2)</f>
        <v>0</v>
      </c>
      <c r="E3">
        <f>D3+(D3*$E$2)</f>
        <v>0</v>
      </c>
      <c r="F3">
        <f>E3*$F$2</f>
        <v>0</v>
      </c>
      <c r="G3">
        <f>E3+F3</f>
        <v>0</v>
      </c>
      <c r="I3">
        <f t="shared" ref="I3:I28" si="0">G3+(G3*$I$2)</f>
        <v>0</v>
      </c>
    </row>
    <row r="4" spans="1:9" x14ac:dyDescent="0.25">
      <c r="A4" t="s">
        <v>11</v>
      </c>
      <c r="B4" t="s">
        <v>12</v>
      </c>
      <c r="C4">
        <v>2000</v>
      </c>
      <c r="D4">
        <f t="shared" ref="D4:D28" si="1">C4+(C4*$D$2)</f>
        <v>2080</v>
      </c>
      <c r="E4">
        <f t="shared" ref="E4:E28" si="2">D4+(D4*$E$2)</f>
        <v>2704</v>
      </c>
      <c r="F4">
        <f t="shared" ref="F4:F28" si="3">E4*$F$2</f>
        <v>567.84</v>
      </c>
      <c r="G4">
        <f t="shared" ref="G4:G28" si="4">E4+F4</f>
        <v>3271.84</v>
      </c>
      <c r="H4">
        <v>4</v>
      </c>
      <c r="I4">
        <f t="shared" si="0"/>
        <v>5234.9440000000004</v>
      </c>
    </row>
    <row r="5" spans="1:9" x14ac:dyDescent="0.25">
      <c r="A5" t="s">
        <v>13</v>
      </c>
      <c r="B5" t="s">
        <v>14</v>
      </c>
      <c r="C5">
        <v>3500</v>
      </c>
      <c r="D5">
        <f t="shared" si="1"/>
        <v>3640</v>
      </c>
      <c r="E5">
        <f t="shared" si="2"/>
        <v>4732</v>
      </c>
      <c r="F5">
        <f t="shared" si="3"/>
        <v>993.71999999999991</v>
      </c>
      <c r="G5">
        <f t="shared" si="4"/>
        <v>5725.72</v>
      </c>
      <c r="H5">
        <v>4</v>
      </c>
      <c r="I5">
        <f t="shared" si="0"/>
        <v>9161.152</v>
      </c>
    </row>
    <row r="6" spans="1:9" x14ac:dyDescent="0.25">
      <c r="A6" t="s">
        <v>15</v>
      </c>
      <c r="B6" t="s">
        <v>16</v>
      </c>
      <c r="C6">
        <v>1000</v>
      </c>
      <c r="D6">
        <f t="shared" si="1"/>
        <v>1040</v>
      </c>
      <c r="E6">
        <f t="shared" si="2"/>
        <v>1352</v>
      </c>
      <c r="F6">
        <f t="shared" si="3"/>
        <v>283.92</v>
      </c>
      <c r="G6">
        <f t="shared" si="4"/>
        <v>1635.92</v>
      </c>
      <c r="H6">
        <v>4</v>
      </c>
      <c r="I6">
        <f t="shared" si="0"/>
        <v>2617.4720000000002</v>
      </c>
    </row>
    <row r="7" spans="1:9" x14ac:dyDescent="0.25">
      <c r="A7" t="s">
        <v>17</v>
      </c>
      <c r="B7" t="s">
        <v>18</v>
      </c>
      <c r="C7">
        <v>7800</v>
      </c>
      <c r="D7">
        <f t="shared" si="1"/>
        <v>8112</v>
      </c>
      <c r="E7">
        <f t="shared" si="2"/>
        <v>10545.6</v>
      </c>
      <c r="F7">
        <f t="shared" si="3"/>
        <v>2214.576</v>
      </c>
      <c r="G7">
        <f t="shared" si="4"/>
        <v>12760.175999999999</v>
      </c>
      <c r="H7">
        <v>4</v>
      </c>
      <c r="I7">
        <f t="shared" si="0"/>
        <v>20416.281599999998</v>
      </c>
    </row>
    <row r="8" spans="1:9" x14ac:dyDescent="0.25">
      <c r="A8" t="s">
        <v>19</v>
      </c>
      <c r="B8" t="s">
        <v>20</v>
      </c>
      <c r="C8">
        <v>6000</v>
      </c>
      <c r="D8">
        <f t="shared" si="1"/>
        <v>6240</v>
      </c>
      <c r="E8">
        <f t="shared" si="2"/>
        <v>8112</v>
      </c>
      <c r="F8">
        <f t="shared" si="3"/>
        <v>1703.52</v>
      </c>
      <c r="G8">
        <f t="shared" si="4"/>
        <v>9815.52</v>
      </c>
      <c r="H8">
        <v>4</v>
      </c>
      <c r="I8">
        <f t="shared" si="0"/>
        <v>15704.832</v>
      </c>
    </row>
    <row r="9" spans="1:9" x14ac:dyDescent="0.25">
      <c r="A9" t="s">
        <v>21</v>
      </c>
      <c r="B9" t="s">
        <v>22</v>
      </c>
      <c r="C9">
        <v>2000</v>
      </c>
      <c r="D9">
        <f t="shared" si="1"/>
        <v>2080</v>
      </c>
      <c r="E9">
        <f t="shared" si="2"/>
        <v>2704</v>
      </c>
      <c r="F9">
        <f t="shared" si="3"/>
        <v>567.84</v>
      </c>
      <c r="G9">
        <f t="shared" si="4"/>
        <v>3271.84</v>
      </c>
      <c r="H9">
        <v>4</v>
      </c>
      <c r="I9">
        <f t="shared" si="0"/>
        <v>5234.9440000000004</v>
      </c>
    </row>
    <row r="10" spans="1:9" x14ac:dyDescent="0.25">
      <c r="A10" t="s">
        <v>23</v>
      </c>
      <c r="B10" t="s">
        <v>24</v>
      </c>
      <c r="C10">
        <v>2400</v>
      </c>
      <c r="D10">
        <f t="shared" si="1"/>
        <v>2496</v>
      </c>
      <c r="E10">
        <f t="shared" si="2"/>
        <v>3244.8</v>
      </c>
      <c r="F10">
        <f t="shared" si="3"/>
        <v>681.40800000000002</v>
      </c>
      <c r="G10">
        <f t="shared" si="4"/>
        <v>3926.2080000000001</v>
      </c>
      <c r="H10">
        <v>4</v>
      </c>
      <c r="I10">
        <f t="shared" si="0"/>
        <v>6281.9328000000005</v>
      </c>
    </row>
    <row r="11" spans="1:9" x14ac:dyDescent="0.25">
      <c r="A11" t="s">
        <v>25</v>
      </c>
      <c r="B11" t="s">
        <v>26</v>
      </c>
      <c r="C11">
        <v>2300</v>
      </c>
      <c r="D11">
        <f t="shared" si="1"/>
        <v>2392</v>
      </c>
      <c r="E11">
        <f t="shared" si="2"/>
        <v>3109.6</v>
      </c>
      <c r="F11">
        <f t="shared" si="3"/>
        <v>653.01599999999996</v>
      </c>
      <c r="G11">
        <f t="shared" si="4"/>
        <v>3762.616</v>
      </c>
      <c r="H11">
        <v>10</v>
      </c>
      <c r="I11">
        <f t="shared" si="0"/>
        <v>6020.1855999999998</v>
      </c>
    </row>
    <row r="12" spans="1:9" x14ac:dyDescent="0.25">
      <c r="A12" t="s">
        <v>27</v>
      </c>
      <c r="B12" t="s">
        <v>28</v>
      </c>
      <c r="C12">
        <v>4000</v>
      </c>
      <c r="D12">
        <f t="shared" si="1"/>
        <v>4160</v>
      </c>
      <c r="E12">
        <f t="shared" si="2"/>
        <v>5408</v>
      </c>
      <c r="F12">
        <f t="shared" si="3"/>
        <v>1135.68</v>
      </c>
      <c r="G12">
        <f t="shared" si="4"/>
        <v>6543.68</v>
      </c>
      <c r="H12">
        <v>4</v>
      </c>
      <c r="I12">
        <f t="shared" si="0"/>
        <v>10469.888000000001</v>
      </c>
    </row>
    <row r="13" spans="1:9" x14ac:dyDescent="0.25">
      <c r="A13" t="s">
        <v>29</v>
      </c>
      <c r="B13" t="s">
        <v>30</v>
      </c>
      <c r="C13">
        <v>8200</v>
      </c>
      <c r="D13">
        <f t="shared" si="1"/>
        <v>8528</v>
      </c>
      <c r="E13">
        <f t="shared" si="2"/>
        <v>11086.4</v>
      </c>
      <c r="F13">
        <f t="shared" si="3"/>
        <v>2328.1439999999998</v>
      </c>
      <c r="G13">
        <f t="shared" si="4"/>
        <v>13414.544</v>
      </c>
      <c r="H13">
        <v>4</v>
      </c>
      <c r="I13">
        <f t="shared" si="0"/>
        <v>21463.270400000001</v>
      </c>
    </row>
    <row r="14" spans="1:9" x14ac:dyDescent="0.25">
      <c r="A14" t="s">
        <v>31</v>
      </c>
      <c r="B14" t="s">
        <v>32</v>
      </c>
      <c r="C14">
        <v>14200</v>
      </c>
      <c r="D14">
        <f t="shared" si="1"/>
        <v>14768</v>
      </c>
      <c r="E14">
        <f t="shared" si="2"/>
        <v>19198.400000000001</v>
      </c>
      <c r="F14">
        <f t="shared" si="3"/>
        <v>4031.6640000000002</v>
      </c>
      <c r="G14">
        <f t="shared" si="4"/>
        <v>23230.064000000002</v>
      </c>
      <c r="H14">
        <v>4</v>
      </c>
      <c r="I14">
        <f t="shared" si="0"/>
        <v>37168.102400000003</v>
      </c>
    </row>
    <row r="15" spans="1:9" x14ac:dyDescent="0.25">
      <c r="A15" t="s">
        <v>33</v>
      </c>
      <c r="B15" t="s">
        <v>34</v>
      </c>
      <c r="C15">
        <v>6100</v>
      </c>
      <c r="D15">
        <f t="shared" si="1"/>
        <v>6344</v>
      </c>
      <c r="E15">
        <f t="shared" si="2"/>
        <v>8247.2000000000007</v>
      </c>
      <c r="F15">
        <f t="shared" si="3"/>
        <v>1731.912</v>
      </c>
      <c r="G15">
        <f t="shared" si="4"/>
        <v>9979.112000000001</v>
      </c>
      <c r="H15">
        <v>10</v>
      </c>
      <c r="I15">
        <f t="shared" si="0"/>
        <v>15966.5792</v>
      </c>
    </row>
    <row r="16" spans="1:9" x14ac:dyDescent="0.25">
      <c r="A16" t="s">
        <v>35</v>
      </c>
      <c r="B16" t="s">
        <v>36</v>
      </c>
      <c r="C16">
        <v>8000</v>
      </c>
      <c r="D16">
        <f t="shared" si="1"/>
        <v>8320</v>
      </c>
      <c r="E16">
        <f t="shared" si="2"/>
        <v>10816</v>
      </c>
      <c r="F16">
        <f t="shared" si="3"/>
        <v>2271.36</v>
      </c>
      <c r="G16">
        <f t="shared" si="4"/>
        <v>13087.36</v>
      </c>
      <c r="H16">
        <v>10</v>
      </c>
      <c r="I16">
        <f t="shared" si="0"/>
        <v>20939.776000000002</v>
      </c>
    </row>
    <row r="17" spans="1:9" x14ac:dyDescent="0.25">
      <c r="A17" t="s">
        <v>37</v>
      </c>
      <c r="B17" t="s">
        <v>38</v>
      </c>
      <c r="C17">
        <v>10100</v>
      </c>
      <c r="D17">
        <f t="shared" si="1"/>
        <v>10504</v>
      </c>
      <c r="E17">
        <f t="shared" si="2"/>
        <v>13655.2</v>
      </c>
      <c r="F17">
        <f t="shared" si="3"/>
        <v>2867.5920000000001</v>
      </c>
      <c r="G17">
        <f t="shared" si="4"/>
        <v>16522.792000000001</v>
      </c>
      <c r="H17">
        <v>10</v>
      </c>
      <c r="I17">
        <f t="shared" si="0"/>
        <v>26436.467199999999</v>
      </c>
    </row>
    <row r="18" spans="1:9" x14ac:dyDescent="0.25">
      <c r="A18" t="s">
        <v>39</v>
      </c>
      <c r="B18" t="s">
        <v>40</v>
      </c>
      <c r="C18">
        <v>3000</v>
      </c>
      <c r="D18">
        <f t="shared" si="1"/>
        <v>3120</v>
      </c>
      <c r="E18">
        <f t="shared" si="2"/>
        <v>4056</v>
      </c>
      <c r="F18">
        <f t="shared" si="3"/>
        <v>851.76</v>
      </c>
      <c r="G18">
        <f t="shared" si="4"/>
        <v>4907.76</v>
      </c>
      <c r="H18">
        <v>10</v>
      </c>
      <c r="I18">
        <f t="shared" si="0"/>
        <v>7852.4160000000002</v>
      </c>
    </row>
    <row r="19" spans="1:9" x14ac:dyDescent="0.25">
      <c r="A19" t="s">
        <v>41</v>
      </c>
      <c r="B19" t="s">
        <v>42</v>
      </c>
      <c r="C19">
        <v>2300</v>
      </c>
      <c r="D19">
        <f t="shared" si="1"/>
        <v>2392</v>
      </c>
      <c r="E19">
        <f t="shared" si="2"/>
        <v>3109.6</v>
      </c>
      <c r="F19">
        <f t="shared" si="3"/>
        <v>653.01599999999996</v>
      </c>
      <c r="G19">
        <f t="shared" si="4"/>
        <v>3762.616</v>
      </c>
      <c r="H19">
        <v>6</v>
      </c>
      <c r="I19">
        <f t="shared" si="0"/>
        <v>6020.1855999999998</v>
      </c>
    </row>
    <row r="20" spans="1:9" x14ac:dyDescent="0.25">
      <c r="A20" t="s">
        <v>43</v>
      </c>
      <c r="B20" t="s">
        <v>44</v>
      </c>
      <c r="C20">
        <v>2000</v>
      </c>
      <c r="D20">
        <f t="shared" si="1"/>
        <v>2080</v>
      </c>
      <c r="E20">
        <f t="shared" si="2"/>
        <v>2704</v>
      </c>
      <c r="F20">
        <f t="shared" si="3"/>
        <v>567.84</v>
      </c>
      <c r="G20">
        <f t="shared" si="4"/>
        <v>3271.84</v>
      </c>
      <c r="H20">
        <v>6</v>
      </c>
      <c r="I20">
        <f t="shared" si="0"/>
        <v>5234.9440000000004</v>
      </c>
    </row>
    <row r="21" spans="1:9" x14ac:dyDescent="0.25">
      <c r="A21" t="s">
        <v>45</v>
      </c>
      <c r="B21" t="s">
        <v>46</v>
      </c>
      <c r="C21">
        <v>6200</v>
      </c>
      <c r="D21">
        <f t="shared" si="1"/>
        <v>6448</v>
      </c>
      <c r="E21">
        <f t="shared" si="2"/>
        <v>8382.4</v>
      </c>
      <c r="F21">
        <f t="shared" si="3"/>
        <v>1760.3039999999999</v>
      </c>
      <c r="G21">
        <f t="shared" si="4"/>
        <v>10142.704</v>
      </c>
      <c r="H21">
        <v>20</v>
      </c>
      <c r="I21">
        <f t="shared" si="0"/>
        <v>16228.326399999998</v>
      </c>
    </row>
    <row r="22" spans="1:9" x14ac:dyDescent="0.25">
      <c r="A22" t="s">
        <v>47</v>
      </c>
      <c r="B22" t="s">
        <v>48</v>
      </c>
      <c r="C22">
        <v>2000</v>
      </c>
      <c r="D22">
        <f t="shared" si="1"/>
        <v>2080</v>
      </c>
      <c r="E22">
        <f t="shared" si="2"/>
        <v>2704</v>
      </c>
      <c r="F22">
        <f t="shared" si="3"/>
        <v>567.84</v>
      </c>
      <c r="G22">
        <f t="shared" si="4"/>
        <v>3271.84</v>
      </c>
      <c r="H22">
        <v>8</v>
      </c>
      <c r="I22">
        <f t="shared" si="0"/>
        <v>5234.9440000000004</v>
      </c>
    </row>
    <row r="23" spans="1:9" x14ac:dyDescent="0.25">
      <c r="A23" t="s">
        <v>49</v>
      </c>
      <c r="B23" t="s">
        <v>50</v>
      </c>
      <c r="C23">
        <v>2000</v>
      </c>
      <c r="D23">
        <f t="shared" si="1"/>
        <v>2080</v>
      </c>
      <c r="E23">
        <f t="shared" si="2"/>
        <v>2704</v>
      </c>
      <c r="F23">
        <f t="shared" si="3"/>
        <v>567.84</v>
      </c>
      <c r="G23">
        <f t="shared" si="4"/>
        <v>3271.84</v>
      </c>
      <c r="H23">
        <v>6</v>
      </c>
      <c r="I23">
        <f t="shared" si="0"/>
        <v>5234.9440000000004</v>
      </c>
    </row>
    <row r="24" spans="1:9" x14ac:dyDescent="0.25">
      <c r="A24" t="s">
        <v>51</v>
      </c>
      <c r="B24" t="s">
        <v>52</v>
      </c>
      <c r="C24">
        <v>2300</v>
      </c>
      <c r="D24">
        <f t="shared" si="1"/>
        <v>2392</v>
      </c>
      <c r="E24">
        <f t="shared" si="2"/>
        <v>3109.6</v>
      </c>
      <c r="F24">
        <f t="shared" si="3"/>
        <v>653.01599999999996</v>
      </c>
      <c r="G24">
        <f t="shared" si="4"/>
        <v>3762.616</v>
      </c>
      <c r="H24">
        <v>6</v>
      </c>
      <c r="I24">
        <f t="shared" si="0"/>
        <v>6020.1855999999998</v>
      </c>
    </row>
    <row r="25" spans="1:9" x14ac:dyDescent="0.25">
      <c r="A25" t="s">
        <v>53</v>
      </c>
      <c r="B25" t="s">
        <v>54</v>
      </c>
      <c r="C25">
        <v>2000</v>
      </c>
      <c r="D25">
        <f t="shared" si="1"/>
        <v>2080</v>
      </c>
      <c r="E25">
        <f t="shared" si="2"/>
        <v>2704</v>
      </c>
      <c r="F25">
        <f t="shared" si="3"/>
        <v>567.84</v>
      </c>
      <c r="G25">
        <f t="shared" si="4"/>
        <v>3271.84</v>
      </c>
      <c r="H25">
        <v>6</v>
      </c>
      <c r="I25">
        <f t="shared" si="0"/>
        <v>5234.9440000000004</v>
      </c>
    </row>
    <row r="26" spans="1:9" x14ac:dyDescent="0.25">
      <c r="A26" t="s">
        <v>55</v>
      </c>
      <c r="B26" t="s">
        <v>56</v>
      </c>
      <c r="C26">
        <v>1700</v>
      </c>
      <c r="D26">
        <f t="shared" si="1"/>
        <v>1768</v>
      </c>
      <c r="E26">
        <f t="shared" si="2"/>
        <v>2298.4</v>
      </c>
      <c r="F26">
        <f t="shared" si="3"/>
        <v>482.66399999999999</v>
      </c>
      <c r="G26">
        <f t="shared" si="4"/>
        <v>2781.0640000000003</v>
      </c>
      <c r="H26">
        <v>6</v>
      </c>
      <c r="I26">
        <f t="shared" si="0"/>
        <v>4449.7024000000001</v>
      </c>
    </row>
    <row r="27" spans="1:9" x14ac:dyDescent="0.25">
      <c r="A27" t="s">
        <v>58</v>
      </c>
      <c r="B27" t="s">
        <v>57</v>
      </c>
      <c r="C27">
        <v>55750</v>
      </c>
      <c r="D27">
        <f t="shared" si="1"/>
        <v>57980</v>
      </c>
      <c r="E27">
        <f t="shared" si="2"/>
        <v>75374</v>
      </c>
      <c r="F27">
        <f t="shared" si="3"/>
        <v>15828.539999999999</v>
      </c>
      <c r="G27">
        <f t="shared" si="4"/>
        <v>91202.54</v>
      </c>
      <c r="H27">
        <v>1</v>
      </c>
      <c r="I27">
        <f t="shared" si="0"/>
        <v>145924.06399999998</v>
      </c>
    </row>
    <row r="28" spans="1:9" x14ac:dyDescent="0.25">
      <c r="A28" t="s">
        <v>59</v>
      </c>
      <c r="B28" t="s">
        <v>60</v>
      </c>
      <c r="C28">
        <v>49000</v>
      </c>
      <c r="D28">
        <f t="shared" si="1"/>
        <v>50960</v>
      </c>
      <c r="E28">
        <f t="shared" si="2"/>
        <v>66248</v>
      </c>
      <c r="F28">
        <f t="shared" si="3"/>
        <v>13912.08</v>
      </c>
      <c r="G28">
        <f t="shared" si="4"/>
        <v>80160.08</v>
      </c>
      <c r="H28">
        <v>1</v>
      </c>
      <c r="I28">
        <f t="shared" si="0"/>
        <v>128256.128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Vendedor Mostrador</dc:creator>
  <cp:lastModifiedBy>Fraan_v1@hotmail.com</cp:lastModifiedBy>
  <dcterms:created xsi:type="dcterms:W3CDTF">2015-06-05T18:19:34Z</dcterms:created>
  <dcterms:modified xsi:type="dcterms:W3CDTF">2026-07-04T18:32:43Z</dcterms:modified>
</cp:coreProperties>
</file>